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66925"/>
  <mc:AlternateContent xmlns:mc="http://schemas.openxmlformats.org/markup-compatibility/2006">
    <mc:Choice Requires="x15">
      <x15ac:absPath xmlns:x15ac="http://schemas.microsoft.com/office/spreadsheetml/2010/11/ac" url="https://metaliumcl-my.sharepoint.com/personal/cbenavides_metalium_cl/Documents/RESPALDO 2025/01.- METALIUM/33.- AUDITORIAS JEFE SST/"/>
    </mc:Choice>
  </mc:AlternateContent>
  <xr:revisionPtr revIDLastSave="0" documentId="8_{BBA17DF8-AA87-4138-B4AD-210EBA1222F4}" xr6:coauthVersionLast="47" xr6:coauthVersionMax="47" xr10:uidLastSave="{00000000-0000-0000-0000-000000000000}"/>
  <bookViews>
    <workbookView xWindow="28680" yWindow="-120" windowWidth="29040" windowHeight="15720" tabRatio="818" firstSheet="4" activeTab="20" xr2:uid="{00000000-000D-0000-FFFF-FFFF00000000}"/>
  </bookViews>
  <sheets>
    <sheet name="Nivel 1" sheetId="20" r:id="rId1"/>
    <sheet name="Nivel 2" sheetId="21" r:id="rId2"/>
    <sheet name="Nivel 3" sheetId="22" r:id="rId3"/>
    <sheet name="Nivel 4" sheetId="23" r:id="rId4"/>
    <sheet name="Nivel 5" sheetId="25" r:id="rId5"/>
    <sheet name="Nivel 6" sheetId="29" r:id="rId6"/>
    <sheet name="Nivel 7" sheetId="27" r:id="rId7"/>
    <sheet name="Nivel 8" sheetId="32" r:id="rId8"/>
    <sheet name="Nivel 9" sheetId="34" r:id="rId9"/>
    <sheet name="Nivel 10" sheetId="35" r:id="rId10"/>
    <sheet name="Nivel 11" sheetId="37" r:id="rId11"/>
    <sheet name="Nivel 12" sheetId="52" r:id="rId12"/>
    <sheet name="Nivel 13" sheetId="42" r:id="rId13"/>
    <sheet name="Nivel 14" sheetId="46" r:id="rId14"/>
    <sheet name="Nivel 15" sheetId="48" r:id="rId15"/>
    <sheet name="Nivel 16" sheetId="44" r:id="rId16"/>
    <sheet name="Nivel 17" sheetId="49" r:id="rId17"/>
    <sheet name="Nivel 18" sheetId="45" r:id="rId18"/>
    <sheet name="Nivel 19" sheetId="38" r:id="rId19"/>
    <sheet name="Nivel 20" sheetId="54" r:id="rId20"/>
    <sheet name="Cierre Fiscalización" sheetId="50" r:id="rId21"/>
  </sheets>
  <definedNames>
    <definedName name="_xlnm.Print_Area" localSheetId="20">'Cierre Fiscalización'!$A$1:$G$55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23" l="1"/>
  <c r="G15" i="23"/>
  <c r="G15" i="44"/>
  <c r="G16" i="44"/>
  <c r="G21" i="21"/>
  <c r="G18" i="21"/>
  <c r="G19" i="21"/>
  <c r="G20" i="21"/>
  <c r="G15" i="21"/>
  <c r="G16" i="21"/>
  <c r="G17" i="21"/>
  <c r="G21" i="20"/>
  <c r="G14" i="38"/>
  <c r="G15" i="38"/>
  <c r="G16" i="38"/>
  <c r="G17" i="38"/>
  <c r="G18" i="38"/>
  <c r="G19" i="38"/>
  <c r="G20" i="38"/>
  <c r="G21" i="38"/>
  <c r="G22" i="38"/>
  <c r="G23" i="38"/>
  <c r="G24" i="38"/>
  <c r="G25" i="38"/>
  <c r="G26" i="38"/>
  <c r="G27" i="38"/>
  <c r="G16" i="35" l="1"/>
  <c r="G19" i="32"/>
  <c r="G20" i="32"/>
  <c r="G21" i="32"/>
  <c r="G22" i="32"/>
  <c r="G14" i="21"/>
  <c r="G22" i="20"/>
  <c r="G18" i="20"/>
  <c r="G19" i="20"/>
  <c r="G20" i="20"/>
  <c r="G15" i="20"/>
  <c r="G16" i="20"/>
  <c r="G31" i="54"/>
  <c r="G11" i="54"/>
  <c r="G12" i="54"/>
  <c r="G13" i="54"/>
  <c r="G14" i="54"/>
  <c r="G15" i="54"/>
  <c r="G16" i="54"/>
  <c r="G17" i="54"/>
  <c r="G18" i="54"/>
  <c r="G19" i="54"/>
  <c r="G20" i="54"/>
  <c r="G21" i="54"/>
  <c r="G22" i="54"/>
  <c r="G23" i="54"/>
  <c r="G24" i="54"/>
  <c r="G25" i="54"/>
  <c r="G26" i="54"/>
  <c r="G27" i="54"/>
  <c r="G28" i="54"/>
  <c r="G29" i="54"/>
  <c r="G30" i="54"/>
  <c r="G32" i="54"/>
  <c r="G13" i="27"/>
  <c r="G10" i="54"/>
  <c r="E7" i="54"/>
  <c r="C7" i="54"/>
  <c r="E6" i="54"/>
  <c r="C6" i="54"/>
  <c r="E5" i="54"/>
  <c r="C5" i="54"/>
  <c r="E4" i="54"/>
  <c r="C4" i="54"/>
  <c r="G11" i="45"/>
  <c r="G12" i="45"/>
  <c r="G13" i="45"/>
  <c r="G14" i="45"/>
  <c r="G19" i="49"/>
  <c r="G17" i="49"/>
  <c r="G18" i="49"/>
  <c r="G16" i="49"/>
  <c r="G12" i="49"/>
  <c r="G13" i="49"/>
  <c r="G14" i="49"/>
  <c r="G13" i="44"/>
  <c r="G14" i="44"/>
  <c r="G17" i="44"/>
  <c r="G13" i="48"/>
  <c r="G14" i="48"/>
  <c r="G11" i="48"/>
  <c r="G12" i="48"/>
  <c r="G15" i="48"/>
  <c r="G26" i="46"/>
  <c r="G14" i="46"/>
  <c r="G15" i="46"/>
  <c r="G26" i="34"/>
  <c r="G16" i="46"/>
  <c r="G13" i="46"/>
  <c r="G33" i="54" l="1"/>
  <c r="G34" i="54" s="1"/>
  <c r="C34" i="50" s="1"/>
  <c r="G12" i="42"/>
  <c r="G11" i="42"/>
  <c r="F7" i="54" l="1"/>
  <c r="G13" i="52"/>
  <c r="G17" i="52"/>
  <c r="G16" i="52"/>
  <c r="G15" i="52"/>
  <c r="G14" i="52"/>
  <c r="G12" i="52"/>
  <c r="G18" i="52" s="1"/>
  <c r="G19" i="52" s="1"/>
  <c r="E9" i="52"/>
  <c r="C9" i="52"/>
  <c r="E8" i="52"/>
  <c r="C8" i="52"/>
  <c r="E7" i="52"/>
  <c r="C7" i="52"/>
  <c r="E6" i="52"/>
  <c r="C6" i="52"/>
  <c r="F9" i="52" l="1"/>
  <c r="C26" i="50"/>
  <c r="G17" i="25"/>
  <c r="G16" i="25"/>
  <c r="G14" i="37"/>
  <c r="G15" i="37"/>
  <c r="G16" i="37"/>
  <c r="G17" i="37"/>
  <c r="G18" i="37"/>
  <c r="G16" i="34"/>
  <c r="G17" i="34"/>
  <c r="G18" i="34"/>
  <c r="G19" i="34"/>
  <c r="G20" i="34"/>
  <c r="G21" i="34"/>
  <c r="G22" i="34"/>
  <c r="G23" i="34"/>
  <c r="G24" i="34"/>
  <c r="G25" i="34"/>
  <c r="G27" i="34"/>
  <c r="G12" i="23"/>
  <c r="G13" i="23"/>
  <c r="G29" i="38"/>
  <c r="G25" i="29"/>
  <c r="G15" i="45"/>
  <c r="G16" i="45"/>
  <c r="G17" i="45"/>
  <c r="G18" i="45"/>
  <c r="G19" i="45"/>
  <c r="G20" i="45"/>
  <c r="G21" i="45"/>
  <c r="G22" i="45"/>
  <c r="G10" i="45"/>
  <c r="G15" i="49"/>
  <c r="G20" i="49"/>
  <c r="G21" i="49"/>
  <c r="G11" i="49"/>
  <c r="G18" i="44"/>
  <c r="G19" i="44"/>
  <c r="G20" i="44"/>
  <c r="G12" i="44"/>
  <c r="G16" i="48"/>
  <c r="G17" i="48"/>
  <c r="G18" i="48"/>
  <c r="G19" i="48"/>
  <c r="G20" i="48"/>
  <c r="G21" i="48"/>
  <c r="G22" i="48"/>
  <c r="G23" i="48"/>
  <c r="G10" i="48"/>
  <c r="G17" i="46"/>
  <c r="G18" i="46"/>
  <c r="G19" i="46"/>
  <c r="G20" i="46"/>
  <c r="G21" i="46"/>
  <c r="G22" i="46"/>
  <c r="G23" i="46"/>
  <c r="G24" i="46"/>
  <c r="G25" i="46"/>
  <c r="G27" i="46"/>
  <c r="G12" i="46"/>
  <c r="G13" i="42"/>
  <c r="G14" i="42"/>
  <c r="G15" i="42"/>
  <c r="G16" i="42"/>
  <c r="G17" i="42"/>
  <c r="G18" i="42"/>
  <c r="G10" i="42"/>
  <c r="G13" i="38"/>
  <c r="G28" i="38"/>
  <c r="G30" i="38"/>
  <c r="G31" i="38"/>
  <c r="G32" i="38"/>
  <c r="G33" i="38"/>
  <c r="G12" i="37"/>
  <c r="G13" i="37"/>
  <c r="G11" i="37"/>
  <c r="G10" i="35"/>
  <c r="G11" i="35"/>
  <c r="G12" i="35"/>
  <c r="G13" i="35"/>
  <c r="G14" i="35"/>
  <c r="G15" i="35"/>
  <c r="G17" i="35"/>
  <c r="G13" i="34"/>
  <c r="G14" i="34"/>
  <c r="G15" i="34"/>
  <c r="G12" i="34"/>
  <c r="G13" i="32"/>
  <c r="G15" i="32"/>
  <c r="G14" i="32"/>
  <c r="G16" i="32"/>
  <c r="G17" i="32"/>
  <c r="G18" i="32"/>
  <c r="G23" i="32"/>
  <c r="G12" i="32"/>
  <c r="G14" i="27"/>
  <c r="G15" i="27"/>
  <c r="G16" i="27"/>
  <c r="G17" i="27"/>
  <c r="G18" i="27"/>
  <c r="G19" i="27"/>
  <c r="G12" i="27"/>
  <c r="G13" i="29"/>
  <c r="G14" i="29"/>
  <c r="G15" i="29"/>
  <c r="G16" i="29"/>
  <c r="G17" i="29"/>
  <c r="G18" i="29"/>
  <c r="G19" i="29"/>
  <c r="G20" i="29"/>
  <c r="G21" i="29"/>
  <c r="G22" i="29"/>
  <c r="G23" i="29"/>
  <c r="G24" i="29"/>
  <c r="G26" i="29"/>
  <c r="G12" i="29"/>
  <c r="G13" i="25"/>
  <c r="G14" i="25"/>
  <c r="G18" i="25"/>
  <c r="G15" i="25"/>
  <c r="G12" i="25"/>
  <c r="G16" i="23"/>
  <c r="G17" i="23"/>
  <c r="G13" i="22"/>
  <c r="G14" i="22"/>
  <c r="G15" i="22"/>
  <c r="G16" i="22"/>
  <c r="G17" i="22"/>
  <c r="G18" i="22"/>
  <c r="G19" i="22"/>
  <c r="G12" i="22"/>
  <c r="G13" i="21"/>
  <c r="G12" i="21"/>
  <c r="G22" i="21" s="1"/>
  <c r="G23" i="21" s="1"/>
  <c r="G17" i="20"/>
  <c r="G20" i="27" l="1"/>
  <c r="G21" i="27" s="1"/>
  <c r="C21" i="50" s="1"/>
  <c r="G20" i="22"/>
  <c r="G21" i="22" s="1"/>
  <c r="G23" i="45"/>
  <c r="G24" i="45" s="1"/>
  <c r="G21" i="44"/>
  <c r="G22" i="44" s="1"/>
  <c r="C30" i="50" s="1"/>
  <c r="G19" i="42"/>
  <c r="G20" i="42" s="1"/>
  <c r="C27" i="50" s="1"/>
  <c r="F9" i="27"/>
  <c r="G18" i="23"/>
  <c r="G19" i="23" s="1"/>
  <c r="G28" i="46"/>
  <c r="G29" i="46" s="1"/>
  <c r="G18" i="35"/>
  <c r="G19" i="35" s="1"/>
  <c r="C24" i="50" s="1"/>
  <c r="G24" i="32"/>
  <c r="G25" i="32" s="1"/>
  <c r="C22" i="50" s="1"/>
  <c r="G27" i="29"/>
  <c r="G28" i="29" s="1"/>
  <c r="C20" i="50" s="1"/>
  <c r="G19" i="25"/>
  <c r="G20" i="25" s="1"/>
  <c r="C19" i="50" s="1"/>
  <c r="G24" i="48"/>
  <c r="G25" i="48" s="1"/>
  <c r="C29" i="50" s="1"/>
  <c r="G22" i="49"/>
  <c r="G23" i="49" s="1"/>
  <c r="C31" i="50" s="1"/>
  <c r="G19" i="37"/>
  <c r="G20" i="37" s="1"/>
  <c r="C25" i="50" s="1"/>
  <c r="G34" i="38"/>
  <c r="G35" i="38" s="1"/>
  <c r="C33" i="50" s="1"/>
  <c r="G28" i="34"/>
  <c r="G29" i="34" s="1"/>
  <c r="C23" i="50" s="1"/>
  <c r="G23" i="20"/>
  <c r="G24" i="20" s="1"/>
  <c r="F9" i="46" l="1"/>
  <c r="C28" i="50"/>
  <c r="F7" i="45"/>
  <c r="C32" i="50"/>
  <c r="F9" i="44"/>
  <c r="F7" i="42"/>
  <c r="F9" i="23"/>
  <c r="C18" i="50"/>
  <c r="F7" i="35"/>
  <c r="F9" i="34"/>
  <c r="F9" i="32"/>
  <c r="F9" i="29"/>
  <c r="F9" i="25"/>
  <c r="C17" i="50"/>
  <c r="F9" i="22"/>
  <c r="C15" i="50"/>
  <c r="F12" i="20"/>
  <c r="C16" i="50"/>
  <c r="F9" i="21"/>
  <c r="F7" i="48"/>
  <c r="F8" i="49"/>
  <c r="F10" i="38"/>
  <c r="E8" i="49"/>
  <c r="C8" i="49"/>
  <c r="E7" i="49"/>
  <c r="C7" i="49"/>
  <c r="E6" i="49"/>
  <c r="C6" i="49"/>
  <c r="E5" i="49"/>
  <c r="C5" i="49"/>
  <c r="E7" i="48"/>
  <c r="C7" i="48"/>
  <c r="E6" i="48"/>
  <c r="C6" i="48"/>
  <c r="E5" i="48"/>
  <c r="C5" i="48"/>
  <c r="E4" i="48"/>
  <c r="C4" i="48"/>
  <c r="E9" i="46"/>
  <c r="C9" i="46"/>
  <c r="E8" i="46"/>
  <c r="C8" i="46"/>
  <c r="E7" i="46"/>
  <c r="C7" i="46"/>
  <c r="E6" i="46"/>
  <c r="C6" i="46"/>
  <c r="E7" i="45"/>
  <c r="C7" i="45"/>
  <c r="E6" i="45"/>
  <c r="C6" i="45"/>
  <c r="E5" i="45"/>
  <c r="C5" i="45"/>
  <c r="E4" i="45"/>
  <c r="C4" i="45"/>
  <c r="E9" i="44"/>
  <c r="C9" i="44"/>
  <c r="E8" i="44"/>
  <c r="C8" i="44"/>
  <c r="E7" i="44"/>
  <c r="C7" i="44"/>
  <c r="E6" i="44"/>
  <c r="C6" i="44"/>
  <c r="E7" i="42"/>
  <c r="C7" i="42"/>
  <c r="E6" i="42"/>
  <c r="C6" i="42"/>
  <c r="E5" i="42"/>
  <c r="C5" i="42"/>
  <c r="E4" i="42"/>
  <c r="C4" i="42"/>
  <c r="E10" i="38"/>
  <c r="E9" i="38"/>
  <c r="E8" i="38"/>
  <c r="E7" i="38"/>
  <c r="E8" i="37"/>
  <c r="E7" i="37"/>
  <c r="E6" i="37"/>
  <c r="E5" i="37"/>
  <c r="E7" i="35"/>
  <c r="E6" i="35"/>
  <c r="E5" i="35"/>
  <c r="E4" i="35"/>
  <c r="E9" i="34"/>
  <c r="E8" i="34"/>
  <c r="E7" i="34"/>
  <c r="E6" i="34"/>
  <c r="E9" i="32"/>
  <c r="E8" i="32"/>
  <c r="E7" i="32"/>
  <c r="E6" i="32"/>
  <c r="C10" i="38"/>
  <c r="C9" i="38"/>
  <c r="C8" i="38"/>
  <c r="C7" i="38"/>
  <c r="C8" i="37"/>
  <c r="C7" i="37"/>
  <c r="C6" i="37"/>
  <c r="C5" i="37"/>
  <c r="C7" i="35"/>
  <c r="C6" i="35"/>
  <c r="C5" i="35"/>
  <c r="C4" i="35"/>
  <c r="C9" i="34"/>
  <c r="C8" i="34"/>
  <c r="C7" i="34"/>
  <c r="C6" i="34"/>
  <c r="C8" i="32"/>
  <c r="C7" i="32"/>
  <c r="C6" i="32"/>
  <c r="C9" i="27"/>
  <c r="C8" i="27"/>
  <c r="C7" i="27"/>
  <c r="C6" i="27"/>
  <c r="E9" i="27"/>
  <c r="E8" i="27"/>
  <c r="E7" i="27"/>
  <c r="E6" i="27"/>
  <c r="E9" i="29"/>
  <c r="E8" i="29"/>
  <c r="E7" i="29"/>
  <c r="E6" i="29"/>
  <c r="C9" i="29"/>
  <c r="C8" i="29"/>
  <c r="C7" i="29"/>
  <c r="C6" i="29"/>
  <c r="E9" i="25"/>
  <c r="E8" i="25"/>
  <c r="E7" i="25"/>
  <c r="E6" i="25"/>
  <c r="C9" i="25"/>
  <c r="C8" i="25"/>
  <c r="C7" i="25"/>
  <c r="C6" i="25"/>
  <c r="C9" i="23"/>
  <c r="C8" i="23"/>
  <c r="C7" i="23"/>
  <c r="C6" i="23"/>
  <c r="E9" i="23"/>
  <c r="E8" i="23"/>
  <c r="E7" i="23"/>
  <c r="E6" i="23"/>
  <c r="E9" i="22"/>
  <c r="E8" i="22"/>
  <c r="E7" i="22"/>
  <c r="E6" i="22"/>
  <c r="C9" i="22"/>
  <c r="C8" i="22"/>
  <c r="C7" i="22"/>
  <c r="C6" i="22"/>
  <c r="C7" i="21"/>
  <c r="C8" i="21"/>
  <c r="C6" i="21"/>
  <c r="E8" i="21"/>
  <c r="E9" i="21"/>
  <c r="E6" i="21"/>
  <c r="F12" i="50" l="1"/>
</calcChain>
</file>

<file path=xl/sharedStrings.xml><?xml version="1.0" encoding="utf-8"?>
<sst xmlns="http://schemas.openxmlformats.org/spreadsheetml/2006/main" count="876" uniqueCount="399">
  <si>
    <t>Cumple/No Cumple
No Aplica</t>
  </si>
  <si>
    <t>Centro de trabajo:</t>
  </si>
  <si>
    <t>Administrador de obra:</t>
  </si>
  <si>
    <t>Fecha:</t>
  </si>
  <si>
    <t>Hora de Inicio:</t>
  </si>
  <si>
    <t>Fecha inicio del Proyecto:</t>
  </si>
  <si>
    <t>Cliente:</t>
  </si>
  <si>
    <t>Hora de Termino:</t>
  </si>
  <si>
    <t xml:space="preserve"> ELEMENTOS DE PROTECCIÓN PERSONAL (EPP)</t>
  </si>
  <si>
    <t>IDENTIFICACIÓN DE PELIGROS Y EVALUACIÓN DE RIESGOS (IPER)</t>
  </si>
  <si>
    <t>PROCEDIMIENTOS GENERALES Y ESPECÍFICOS DE SEGURIDAD</t>
  </si>
  <si>
    <t>INSTALACIÓN DE FAENA</t>
  </si>
  <si>
    <t>VEHÍCULOS LIVIANOS Y MAQUINARIA PESADA</t>
  </si>
  <si>
    <t>COMITÉ PARITARIO DE HIGIENE Y SEGURIDAD</t>
  </si>
  <si>
    <t>SUBCONTRATOS</t>
  </si>
  <si>
    <t>Cumplimiento Parcial</t>
  </si>
  <si>
    <t>Subtotal</t>
  </si>
  <si>
    <t>Total de Cumplimiento
Verificado:</t>
  </si>
  <si>
    <t>Total de Cumplimiento
Informado:</t>
  </si>
  <si>
    <t>Total de Cumplimiento  
Informado:</t>
  </si>
  <si>
    <t>Experto en Prevención de Riesgos de Obra:</t>
  </si>
  <si>
    <t>GUÍA TÉCNICA RADIACIÓN UV</t>
  </si>
  <si>
    <t>PROTOCOLO DE VIGILANCIA DE RIESGOS PSICOSOCIALES</t>
  </si>
  <si>
    <t>PROTOCOLO PLANESI</t>
  </si>
  <si>
    <t>PROTOCOLO PREXOR</t>
  </si>
  <si>
    <t>PROTOCOLO TMERT EESS</t>
  </si>
  <si>
    <t>GUÍA TÉCNICA MMC</t>
  </si>
  <si>
    <t>Cumple</t>
  </si>
  <si>
    <t>No Cumple</t>
  </si>
  <si>
    <t>No Aplica</t>
  </si>
  <si>
    <t>Total de Cumplimiento</t>
  </si>
  <si>
    <t>Cumpliento por nivel</t>
  </si>
  <si>
    <t>Campos Evaluados</t>
  </si>
  <si>
    <t>Empresa:</t>
  </si>
  <si>
    <t>Realizado</t>
  </si>
  <si>
    <t>Revisado</t>
  </si>
  <si>
    <t>Observaciones:</t>
  </si>
  <si>
    <t>Compromisos:</t>
  </si>
  <si>
    <t>Toma de Conocimiento</t>
  </si>
  <si>
    <t>Nombre:</t>
  </si>
  <si>
    <t>Cargo:</t>
  </si>
  <si>
    <t>Firma:</t>
  </si>
  <si>
    <t>Cierre Fiscalización</t>
  </si>
  <si>
    <t>Total Cumplimiento informado</t>
  </si>
  <si>
    <t>Jefe de Seguridad y Salud Ocupacional:</t>
  </si>
  <si>
    <t>Unidad de Negocio:</t>
  </si>
  <si>
    <t>Centro de Costo:</t>
  </si>
  <si>
    <t>Obra:</t>
  </si>
  <si>
    <t xml:space="preserve"> REPORTE DE HALLAZGOS E INCIDENTES </t>
  </si>
  <si>
    <t>14.2. ¿Los trabajadores de la empresa contratista o subcontratista, utilizan en las faenas todos sus elementos de protección personal?</t>
  </si>
  <si>
    <t>SALUD EN EL TRABAJO</t>
  </si>
  <si>
    <t>¿Se ha implementado el Plan de Gestión de Salud en el Trabajo? (SGSST-PI-08)</t>
  </si>
  <si>
    <t>¿Se coordinan con Mutual de Seguridad el ingreso de los trabajadores expuestos a agentes al Plan de Vigilancia Médica? (SGSST-PI-08)</t>
  </si>
  <si>
    <t>¿Se coordinan con Mutual de Seguridad las evaluaciones Post-Ocupacionales de los trabajadores al termino de exposición del agente? (SGSST-PI-08-02)</t>
  </si>
  <si>
    <t>¿Se elabora el Programa Salud en el Trabajo? ¿Es aprobado y firmado por el Administrador de Obra? (cronograma de actividades?</t>
  </si>
  <si>
    <t xml:space="preserve"> ¿Se coordina con Mutual de Seguridad el primer mes de operación de la obra un PGP?</t>
  </si>
  <si>
    <t>21.5. Existe identificación de peligro en las áreas criticas de la obra (Etapa 0)</t>
  </si>
  <si>
    <t>21.3. La obra ha realizado la difusión de la Norma Técnica y Protocolo de TMERT-EESS a sus trabajadores.</t>
  </si>
  <si>
    <t>22.2. Cuenta con registro de difusión de resultados obtenidos.</t>
  </si>
  <si>
    <t>21.5. ¿Se realizó la difusión del Protocolo de Vigilancia del Ambiente y de la Salud de los trabajadores con exposición a sílice?</t>
  </si>
  <si>
    <t>21.3. ¿Se registra la entrega y recambio de las protecciones respiratorias (respirador y filtros P100) a cada trabajador, controlando la periodicidad de recambio de los filtros según la tarea a desarrollar?</t>
  </si>
  <si>
    <t>21.6. ¿Los trabajadores han sido capacitados acerca de los riesgos asociados a la inhalación de sustancias que contienen sílice libre cristalizada, de las medidas preventivas y de los métodos de trabajo correctos (test de evaluación)?</t>
  </si>
  <si>
    <t>DEMOLICIÓN Y DESMANTELAMIENTO (EXCLUSIVO)</t>
  </si>
  <si>
    <t>PILARES DE SEGURIDAD</t>
  </si>
  <si>
    <t>8.2. ¿Se genera Reporte Flash (Alto potencial) en un plazo no superior a 24 horas (Incidentes) y 48 horas (accidentes y graves)?</t>
  </si>
  <si>
    <t>11.3. ¿Se genera Reporte Flash de Seguridad por cada Incidente ocurrido en obra?</t>
  </si>
  <si>
    <t>11.5. Se difunden en obra los Incidentes ocurridos en ella, así­ como los reportes flash relevantes de otras obras, para obtener aprendizajes, evitanto la recurrencia/ocurrencia de los mismos? (SGSSO-PG-28-R-01)</t>
  </si>
  <si>
    <t>11.4. Cuando los incidentes se materializan producto de acciones inseguras ¿Se reinstruye a los trabajadores respecto a los métodos de trabajo correctos, riesgos y medidas de control? (SGSSO-PG-28-R-01)</t>
  </si>
  <si>
    <t>8.5. Cuando los incidentes se materializan producto de condiciones inseguras ¿Se corrigen todas aquellas que provocaron el incidente y se mantienen a través del tiempo?</t>
  </si>
  <si>
    <t>11.6. Cuando los incidentes se materializan producto de condiciones inseguras ¿Se corrigen todas aquellas que provocaron el incidente?</t>
  </si>
  <si>
    <t>8.6. Las personas que se accidentan a causa o con ocasión del trabajo ¿son derivadas a Mutual de Seguridad para su oportuna atención? (Ingreso DIAT 24 hrs)</t>
  </si>
  <si>
    <t>11.8. Las personas que se accidentan a causa o con ocasión del trabajo ¿son derivadas a Mutual de Seguridad para su oportuna atención?</t>
  </si>
  <si>
    <t>8.7. ¿Todos los incidentes de obra son reportados? (Cuasi Accidentes, Daño Material, Falla Operacional, Accidentes y enfermedades con y sin tiempo perdido)</t>
  </si>
  <si>
    <t>11.9. ¿Todos los incidentes de obra son reportados? (Cuasi Accidentes, Daño Material, Falla Operacional, Accidentes con y sin tiempo perdido)</t>
  </si>
  <si>
    <t>8.8. ¿Todos los Programas de Liderazgo Activo de SST de la obra consideran al menos generar 1 reporte de Hallazgo a través de la APP GHIF a la semana?</t>
  </si>
  <si>
    <t>8.9. ¿Se da cumplimiento durante la semana a la cantidad de reportes de Hallazgos definidos en los Programas de Liderazgo a través de la APP GHIF? (4 por cada Programa de Liderazgo de SST)</t>
  </si>
  <si>
    <t>19.2. ¿Se da cumplimiento durante la semana a la cantidad de reportes de Hallazgos definidos en todos los planes personalizados a través de la APP GHIF?</t>
  </si>
  <si>
    <t>8.10. ¿Se cierra el 95% de los reportes de alto potencial en un plazo no mayor a 72 horas?</t>
  </si>
  <si>
    <t>19.4. ¿Se cierra el 80% de los reportes Indeseables e Inaceptables de la semana antes de las 100 horas?</t>
  </si>
  <si>
    <t>8.11. ¿Se encuentra cerrado al menos el 80% de los reportes totales de la obra?</t>
  </si>
  <si>
    <t>19.5. ¿Se encuentra cerrado al menos el 80% de los reportes totales de la obra?</t>
  </si>
  <si>
    <t>11.10. ¿Los incidentes son investigados por la Lí­nea de Mando de la Obra? (SGSSO-PI-05-R-03)</t>
  </si>
  <si>
    <t>¿Se evidencia que en las visitas de Mutual de Seguridad, se verifique la implementación de Protocolos y Guías Técnicas?</t>
  </si>
  <si>
    <t>13.3. ¿Se mantiene actualizada la matriz IPER incluyendo la identificación de los peligros, evaluación de los riesgos y medidas de control asociados a la Radiación UV de Origen Solar?</t>
  </si>
  <si>
    <t>13.4. ¿Se realizó la difusión de la Guía Técnica de radiación ultravioleta solar?</t>
  </si>
  <si>
    <t xml:space="preserve">13.1. ¿Se elabora el Plan Protección UV de origen Solar (SGSST-PI-08-06)? ¿Es aprobado y firmado por el Administrador de Obra? </t>
  </si>
  <si>
    <t xml:space="preserve">13.2. ¿Se elabora el Programa de Protección UV de origen Solar (SGSST-PI-08-06-R-01)? ¿Es aprobado y firmado por el Administrador de Obra? </t>
  </si>
  <si>
    <t>LIDERAZGO Y COMPROMISO</t>
  </si>
  <si>
    <t>GENERALIDADES DE IMPLEMENTACIÓN</t>
  </si>
  <si>
    <t>Nivel 2: GENERALIDADES DE IMPLEMENTACIÓN</t>
  </si>
  <si>
    <t>Nivel 1: LIDERAZGO Y COMPROMISO</t>
  </si>
  <si>
    <t>Nivel 3:  ELEMENTOS DE PROTECCIÓN PERSONAL (EPP)</t>
  </si>
  <si>
    <t>Nivel 4: IDENTIFICACIÓN DE PELIGROS Y EVALUACIÓN DE RIESGOS</t>
  </si>
  <si>
    <t>Nivel 5: PROCEDIMIENTOS GENERALES Y ESPECÍFICOS DE SEGURIDAD</t>
  </si>
  <si>
    <t>Nivel 6: INSTALACIÓN DE FAENA</t>
  </si>
  <si>
    <t>Nivel 7: VEHÍCULOS LIVIANOS Y MAQUINARIA PESADA</t>
  </si>
  <si>
    <t>Nivel 8:  REPORTE DE HALLAZGOS E INCIDENTES</t>
  </si>
  <si>
    <t>Nivel 9: COMITÉ PARITARIO DE HIGIENE Y SEGURIDAD</t>
  </si>
  <si>
    <t>Nivel 10: SUBCONTRATOS</t>
  </si>
  <si>
    <t>FORMACIÓN Y DESARROLLO</t>
  </si>
  <si>
    <t>Nivel 11: FORMACIÓN Y DESARROLLO</t>
  </si>
  <si>
    <t>Nivel 12: SALUD EN EL TRABAJO</t>
  </si>
  <si>
    <t>Nivel 13: GUÍA TÉCNICA RADIACIÓN UV</t>
  </si>
  <si>
    <t>Nivel 14: PROTOCOLO PREXOR</t>
  </si>
  <si>
    <t>Nivel 15: PROTOCOLO TMERT EESS</t>
  </si>
  <si>
    <t>Nivel 16: PROTOCOLO DE VIGILANCIA DE RIESGOS PSICOSOCIALES</t>
  </si>
  <si>
    <t>Nivel 17: GUÍA TÉCNICA MMC</t>
  </si>
  <si>
    <t>Nivel 18: PROTOCOLO PLANESI</t>
  </si>
  <si>
    <t xml:space="preserve">Nivel 19: DEMOLICIÓN Y DESMANTELAMIENTO </t>
  </si>
  <si>
    <t>Nivel 20: PILARES DE SEGURIDAD</t>
  </si>
  <si>
    <t>2.7 ¿Se encuentran firmados los procedimientos de implementación del sistema de gestión de SST?</t>
  </si>
  <si>
    <t>2.10. Cuenta con registro de inducción de todos los riesgos asociados y medidas preventivas para trabajadores propios y contratistas (considerar distintos idiomas en caso de inmigrantes).</t>
  </si>
  <si>
    <t>2.4. ¿Existen medios para la consulta y participación de los trabajadores en obra?</t>
  </si>
  <si>
    <t>2.11. ¿Se entrega de forma fisica o digital el RIOHS actualizado, quedando registro de la firma del trabajador(a)?</t>
  </si>
  <si>
    <t>OBSERVACIONES</t>
  </si>
  <si>
    <t>SUBTOTAL</t>
  </si>
  <si>
    <t>CUMPLE / NO CUMPLE</t>
  </si>
  <si>
    <r>
      <t>18.9. </t>
    </r>
    <r>
      <rPr>
        <sz val="11"/>
        <color rgb="FF444444"/>
        <rFont val="Open Sans"/>
        <family val="2"/>
      </rPr>
      <t>¿Se envió el Informe de respuesta a Mutual de Seguridad de los NO cumplimientos de la evaluación cualitativa?</t>
    </r>
  </si>
  <si>
    <r>
      <t>21.12. </t>
    </r>
    <r>
      <rPr>
        <sz val="11"/>
        <color rgb="FF444444"/>
        <rFont val="Open Sans"/>
        <family val="2"/>
      </rPr>
      <t>¿Se envió el Informe de respuesta a los no cumplimientos de la evaluación cualitativa?</t>
    </r>
  </si>
  <si>
    <r>
      <t>18.10. </t>
    </r>
    <r>
      <rPr>
        <sz val="11"/>
        <color rgb="FF444444"/>
        <rFont val="Open Sans"/>
        <family val="2"/>
      </rPr>
      <t>¿Se elaborará e implementar un instructivo de humectación el cual involucre las zonas de trabajo con tránsito peatonal y vehicular e incluya periodicidades, lugares o zonas, horarios y responsables de realizar dicha humectación (personal que barre)?</t>
    </r>
  </si>
  <si>
    <r>
      <t>21.21. </t>
    </r>
    <r>
      <rPr>
        <sz val="11"/>
        <color rgb="FF444444"/>
        <rFont val="Open Sans"/>
        <family val="2"/>
      </rPr>
      <t>¿Se elaborará e implementar un instructivo de humectación el cual involucre las zonas de trabajo con tránsito peatonal y vehicular e incluya periodicidades, lugares o zonas, horarios y responsables de realizar dicha humectación (personal que barre)?</t>
    </r>
  </si>
  <si>
    <r>
      <t>18.11. </t>
    </r>
    <r>
      <rPr>
        <sz val="11"/>
        <color rgb="FF444444"/>
        <rFont val="Open Sans"/>
        <family val="2"/>
      </rPr>
      <t>¿Existen señalizaciones sobre los riesgos, consecuencias para la salud y medidas preventivas por exposición a sílice?</t>
    </r>
  </si>
  <si>
    <r>
      <t>21.22. </t>
    </r>
    <r>
      <rPr>
        <sz val="11"/>
        <color rgb="FF444444"/>
        <rFont val="Open Sans"/>
        <family val="2"/>
      </rPr>
      <t>¿Existen señalizaciones sobre los riesgos, consecuencias para la salud y medidas preventivas por exposición a sílice?</t>
    </r>
  </si>
  <si>
    <r>
      <t>18.12. </t>
    </r>
    <r>
      <rPr>
        <sz val="11"/>
        <color rgb="FF444444"/>
        <rFont val="Open Sans"/>
        <family val="2"/>
      </rPr>
      <t>¿Se usan filtros auto limpiantes para evitar el contacto directo con el polvo recolectado (aspiradora) Filtros HEPA?</t>
    </r>
  </si>
  <si>
    <r>
      <t>21.24. </t>
    </r>
    <r>
      <rPr>
        <sz val="11"/>
        <color rgb="FF444444"/>
        <rFont val="Open Sans"/>
        <family val="2"/>
      </rPr>
      <t>¿Se usan filtros auto limpiantes para evitar el contacto directo con el polvo recolectado (aspiradora) Filtros HEPA?</t>
    </r>
  </si>
  <si>
    <r>
      <t>18.13. </t>
    </r>
    <r>
      <rPr>
        <sz val="11"/>
        <color rgb="FF444444"/>
        <rFont val="Open Sans"/>
        <family val="2"/>
      </rPr>
      <t>¿La limpieza de la ropa de trabajo se efectúa minimizando la exposición del trabajador a polvo (sala de aspirado) dejando registro (nombre, firma y horario)?</t>
    </r>
  </si>
  <si>
    <r>
      <t>21.25. </t>
    </r>
    <r>
      <rPr>
        <sz val="11"/>
        <color rgb="FF444444"/>
        <rFont val="Open Sans"/>
        <family val="2"/>
      </rPr>
      <t>¿La limpieza de la ropa de trabajo se efectúa minimizando la exposición del trabajador a polvo (sala de aspirado) dejando registro (nombre, firma y horario)?</t>
    </r>
  </si>
  <si>
    <r>
      <rPr>
        <b/>
        <sz val="11"/>
        <color rgb="FF444444"/>
        <rFont val="Open Sans"/>
        <family val="2"/>
      </rPr>
      <t>18.1</t>
    </r>
    <r>
      <rPr>
        <sz val="11"/>
        <color rgb="FF444444"/>
        <rFont val="Open Sans"/>
        <family val="2"/>
      </rPr>
      <t>. ¿Se elabora el Plan de Gestión PLANESI  (SGSST-PI-08-02)? ¿Es aprobado y firmado por el Administrador de Obra? ¿Se ha difundido a los responsables de su aplicación?</t>
    </r>
  </si>
  <si>
    <r>
      <rPr>
        <b/>
        <sz val="11"/>
        <color rgb="FF444444"/>
        <rFont val="Open Sans"/>
        <family val="2"/>
      </rPr>
      <t>18.2</t>
    </r>
    <r>
      <rPr>
        <sz val="11"/>
        <color rgb="FF444444"/>
        <rFont val="Open Sans"/>
        <family val="2"/>
      </rPr>
      <t xml:space="preserve">. ¿Se elabora el Programa PLANESI  (SGSST-PI-08-R-02)? ¿Es aprobado y firmado por el Administrador de Obra? </t>
    </r>
  </si>
  <si>
    <r>
      <rPr>
        <b/>
        <sz val="11"/>
        <color rgb="FF444444"/>
        <rFont val="Open Sans"/>
        <family val="2"/>
      </rPr>
      <t>18.3.</t>
    </r>
    <r>
      <rPr>
        <sz val="11"/>
        <color rgb="FF444444"/>
        <rFont val="Open Sans"/>
        <family val="2"/>
      </rPr>
      <t xml:space="preserve"> ¿Se mantiene actualizada la matriz IPER incluyendo la identificación de los peligros, evaluación de los riesgos y medidas de control asociados a la exposición de Sílice Libre Cristalizada?</t>
    </r>
  </si>
  <si>
    <r>
      <rPr>
        <b/>
        <sz val="11"/>
        <color rgb="FF444444"/>
        <rFont val="Open Sans"/>
        <family val="2"/>
      </rPr>
      <t>18.4</t>
    </r>
    <r>
      <rPr>
        <sz val="11"/>
        <color rgb="FF444444"/>
        <rFont val="Open Sans"/>
        <family val="2"/>
      </rPr>
      <t>.¿Se realizó la difusión del Protocolo de Vigilancia del Ambiente y de la Salud de los trabajadores con exposición a sílice?</t>
    </r>
  </si>
  <si>
    <r>
      <rPr>
        <b/>
        <sz val="11"/>
        <color rgb="FF444444"/>
        <rFont val="Open Sans"/>
        <family val="2"/>
      </rPr>
      <t>18.5.</t>
    </r>
    <r>
      <rPr>
        <sz val="11"/>
        <color rgb="FF444444"/>
        <rFont val="Open Sans"/>
        <family val="2"/>
      </rPr>
      <t> ¿Se registra la entrega y recambio de las protecciones respiratorias (respirador y filtros P100) a cada trabajador, controlando la periodicidad de recambio de los filtros según la tarea a desarrollar?</t>
    </r>
  </si>
  <si>
    <r>
      <rPr>
        <b/>
        <sz val="11"/>
        <color rgb="FF444444"/>
        <rFont val="Open Sans"/>
        <family val="2"/>
      </rPr>
      <t>18.6</t>
    </r>
    <r>
      <rPr>
        <sz val="11"/>
        <color rgb="FF444444"/>
        <rFont val="Open Sans"/>
        <family val="2"/>
      </rPr>
      <t>. ¿Los trabajadores han sido capacitados acerca de los riesgos asociados a la inhalación de sustancias que contienen sílice libre cristalizada, de las medidas preventivas y de los métodos de trabajo correctos (test de evaluación)?</t>
    </r>
  </si>
  <si>
    <r>
      <rPr>
        <b/>
        <sz val="11"/>
        <color rgb="FF444444"/>
        <rFont val="Open Sans"/>
        <family val="2"/>
      </rPr>
      <t>18.7</t>
    </r>
    <r>
      <rPr>
        <sz val="11"/>
        <color rgb="FF444444"/>
        <rFont val="Open Sans"/>
        <family val="2"/>
      </rPr>
      <t>. ¿Los trabajadores que utilizan elementos de protección personal han sido capacitados (teórica y practica) en su correcto uso, almacenamiento, mantención y pruebas de ajuste?</t>
    </r>
  </si>
  <si>
    <r>
      <rPr>
        <b/>
        <sz val="11"/>
        <color rgb="FF444444"/>
        <rFont val="Open Sans"/>
        <family val="2"/>
      </rPr>
      <t>18.8</t>
    </r>
    <r>
      <rPr>
        <sz val="11"/>
        <color rgb="FF444444"/>
        <rFont val="Open Sans"/>
        <family val="2"/>
      </rPr>
      <t>. ¿Existe un Programa de Protección Respiratoria, según lo establecido en el Protocolo? (SGSST-PI-08-04) ¿Se ha difundido a los trabajadores?</t>
    </r>
  </si>
  <si>
    <r>
      <rPr>
        <b/>
        <sz val="11"/>
        <color rgb="FF444444"/>
        <rFont val="Open Sans"/>
        <family val="2"/>
      </rPr>
      <t xml:space="preserve">15.1. </t>
    </r>
    <r>
      <rPr>
        <sz val="11"/>
        <color rgb="FF444444"/>
        <rFont val="Open Sans"/>
        <family val="2"/>
      </rPr>
      <t xml:space="preserve">¿Se elabora el Plan de Gestión de TMERT EESS (SGSST-PI-08-09)? ¿Es aprobado y firmado por el Administrador de Obra? </t>
    </r>
  </si>
  <si>
    <r>
      <rPr>
        <b/>
        <sz val="11"/>
        <color rgb="FF444444"/>
        <rFont val="Open Sans"/>
        <family val="2"/>
      </rPr>
      <t>15.2</t>
    </r>
    <r>
      <rPr>
        <sz val="11"/>
        <color rgb="FF444444"/>
        <rFont val="Open Sans"/>
        <family val="2"/>
      </rPr>
      <t xml:space="preserve">. ¿Se elabora el Programa TMERT EESS (SGSST-PI-08-R-02)? ¿Es aprobado y firmado por el Administrador de Obra? </t>
    </r>
  </si>
  <si>
    <r>
      <rPr>
        <b/>
        <sz val="11"/>
        <color rgb="FF444444"/>
        <rFont val="Open Sans"/>
        <family val="2"/>
      </rPr>
      <t>15.3.</t>
    </r>
    <r>
      <rPr>
        <sz val="11"/>
        <color rgb="FF444444"/>
        <rFont val="Open Sans"/>
        <family val="2"/>
      </rPr>
      <t xml:space="preserve"> ¿Se mantiene actualizada la matriz IPER incluyendo la identificación de los peligros, evaluación de los riesgos y medidas de control asociados a la exposición de TMERT EESS?</t>
    </r>
  </si>
  <si>
    <r>
      <rPr>
        <b/>
        <sz val="11"/>
        <color rgb="FF444444"/>
        <rFont val="Open Sans"/>
        <family val="2"/>
      </rPr>
      <t>15.4</t>
    </r>
    <r>
      <rPr>
        <sz val="11"/>
        <color rgb="FF444444"/>
        <rFont val="Open Sans"/>
        <family val="2"/>
      </rPr>
      <t>. Existe identificación de peligro en las áreas criticas de la obra (Etapa 0) y en las tareas que presentan peligro  se realizaron las lista de Chequeo TMERT-ESSS Minsal (Evidenciar listas).</t>
    </r>
  </si>
  <si>
    <r>
      <rPr>
        <b/>
        <sz val="11"/>
        <color rgb="FF444444"/>
        <rFont val="Open Sans"/>
        <family val="2"/>
      </rPr>
      <t>15.5</t>
    </r>
    <r>
      <rPr>
        <sz val="11"/>
        <color rgb="FF444444"/>
        <rFont val="Open Sans"/>
        <family val="2"/>
      </rPr>
      <t>. La obra ha realizado la difusión de la Norma Técnica y Protocolo de TMERT-EESS a sus trabajadores.</t>
    </r>
  </si>
  <si>
    <r>
      <rPr>
        <b/>
        <sz val="11"/>
        <color rgb="FF444444"/>
        <rFont val="Open Sans"/>
        <family val="2"/>
      </rPr>
      <t>15.6.</t>
    </r>
    <r>
      <rPr>
        <sz val="11"/>
        <color rgb="FF444444"/>
        <rFont val="Open Sans"/>
        <family val="2"/>
      </rPr>
      <t> ¿Se realizo la Matriz TMERT-EESS de la obra y fue revisada por un Ergónomo de Mutual de Seguridad?</t>
    </r>
  </si>
  <si>
    <r>
      <rPr>
        <b/>
        <sz val="11"/>
        <color rgb="FF444444"/>
        <rFont val="Open Sans"/>
        <family val="2"/>
      </rPr>
      <t>15.7.</t>
    </r>
    <r>
      <rPr>
        <sz val="11"/>
        <color rgb="FF444444"/>
        <rFont val="Open Sans"/>
        <family val="2"/>
      </rPr>
      <t xml:space="preserve"> En la obra han realizado el taller teórico practico para la aplicación de "Lista de Chequeo Inicial MINSAL", y han participado los implementadores por parte de la obra. (Evidenciar diplomas de Mutual de Seguridad)</t>
    </r>
  </si>
  <si>
    <r>
      <rPr>
        <b/>
        <sz val="11"/>
        <color rgb="FF444444"/>
        <rFont val="Open Sans"/>
        <family val="2"/>
      </rPr>
      <t>15.8</t>
    </r>
    <r>
      <rPr>
        <sz val="11"/>
        <color rgb="FF444444"/>
        <rFont val="Open Sans"/>
        <family val="2"/>
      </rPr>
      <t>. ¿Tiene respaldo de la evidencia de la implementación de los controles administrativos (rotaciones pausas, etc.)?</t>
    </r>
  </si>
  <si>
    <r>
      <t>15.9 </t>
    </r>
    <r>
      <rPr>
        <sz val="11"/>
        <color rgb="FF444444"/>
        <rFont val="Open Sans"/>
        <family val="2"/>
      </rPr>
      <t>Existe evaluación del riesgo residual, post implementación de controles, antes de cumplir el 3° mes post evaluación de riesgo. (Pasos en Rojo)</t>
    </r>
  </si>
  <si>
    <r>
      <t>21.8. </t>
    </r>
    <r>
      <rPr>
        <sz val="11"/>
        <color rgb="FF444444"/>
        <rFont val="Open Sans"/>
        <family val="2"/>
      </rPr>
      <t>Existe evaluación del riesgo residual, post implementación de controles, antes de cumplir el 3° mes post evaluación de riesgo. (Pasos en Rojo)</t>
    </r>
  </si>
  <si>
    <r>
      <t>15.10. </t>
    </r>
    <r>
      <rPr>
        <sz val="11"/>
        <color rgb="FF444444"/>
        <rFont val="Open Sans"/>
        <family val="2"/>
      </rPr>
      <t>¿Se adoptan medidas de control ingenieril? Evidenciar la eficiencia de las medidas de control.</t>
    </r>
  </si>
  <si>
    <r>
      <t>21.9. </t>
    </r>
    <r>
      <rPr>
        <sz val="11"/>
        <color rgb="FF444444"/>
        <rFont val="Open Sans"/>
        <family val="2"/>
      </rPr>
      <t>¿Se adoptan medidas de control ingenieril? Evidenciar la eficiencia de las medidas de control.</t>
    </r>
  </si>
  <si>
    <r>
      <t>15.11. </t>
    </r>
    <r>
      <rPr>
        <sz val="11"/>
        <color rgb="FF444444"/>
        <rFont val="Open Sans"/>
        <family val="2"/>
      </rPr>
      <t>¿La obra realiza acciones para la mitigación o eliminación de los riesgos identificados y evaluados? Evidencia de las medidas implementadas.</t>
    </r>
  </si>
  <si>
    <r>
      <t>21.10. </t>
    </r>
    <r>
      <rPr>
        <sz val="11"/>
        <color rgb="FF444444"/>
        <rFont val="Open Sans"/>
        <family val="2"/>
      </rPr>
      <t>¿La obra realiza acciones para la mitigación o eliminación de los riesgos identificados y evaluados? Evidencia de las medidas implementadas.</t>
    </r>
  </si>
  <si>
    <r>
      <t>15.12. </t>
    </r>
    <r>
      <rPr>
        <sz val="11"/>
        <color rgb="FF444444"/>
        <rFont val="Open Sans"/>
        <family val="2"/>
      </rPr>
      <t>Se han realizado reuniones con áreas donde se presentaron tareas rojas, para analizar resultados, determinar y jerarquizar los controles que eliminaran/mitigaran el riesgo.</t>
    </r>
  </si>
  <si>
    <r>
      <t>21.12. </t>
    </r>
    <r>
      <rPr>
        <sz val="11"/>
        <color rgb="FF444444"/>
        <rFont val="Open Sans"/>
        <family val="2"/>
      </rPr>
      <t>Se han realizado reuniones con áreas donde se presentaron tareas rojas, para analizar resultados, determinar y jerarquizar los controles que eliminaran/mitigaran el riesgo.</t>
    </r>
  </si>
  <si>
    <r>
      <t>15.13. </t>
    </r>
    <r>
      <rPr>
        <sz val="11"/>
        <color rgb="FF444444"/>
        <rFont val="Open Sans"/>
        <family val="2"/>
      </rPr>
      <t>¿La empresa informo a todos los trabajadores (GES) y CPHS de los resultados de las tareas evaluadas (listas de chequeo)?</t>
    </r>
  </si>
  <si>
    <r>
      <t>21.15. </t>
    </r>
    <r>
      <rPr>
        <sz val="11"/>
        <color rgb="FF444444"/>
        <rFont val="Open Sans"/>
        <family val="2"/>
      </rPr>
      <t>¿La empresa informo a los trabajadores y CPHS, Sindicatos de los resultados de las tareas evaluadas (listas de chequeo)?</t>
    </r>
  </si>
  <si>
    <r>
      <t>15.14. </t>
    </r>
    <r>
      <rPr>
        <sz val="11"/>
        <color rgb="FF444444"/>
        <rFont val="Open Sans"/>
        <family val="2"/>
      </rPr>
      <t>La obra ingreso al Programa de Vigilancia los trabajadores el listado correspondiente a tareas con nivel del riesgo Alto (Rojo).</t>
    </r>
  </si>
  <si>
    <r>
      <t>21.16. </t>
    </r>
    <r>
      <rPr>
        <sz val="11"/>
        <color rgb="FF444444"/>
        <rFont val="Open Sans"/>
        <family val="2"/>
      </rPr>
      <t>La obra ingreso al Programa de Vigilancia los trabajadores el listado correspondiente a tareas rojas.</t>
    </r>
  </si>
  <si>
    <r>
      <rPr>
        <b/>
        <sz val="11"/>
        <color rgb="FF444444"/>
        <rFont val="Open Sans"/>
        <family val="2"/>
      </rPr>
      <t xml:space="preserve">16.1. </t>
    </r>
    <r>
      <rPr>
        <sz val="11"/>
        <color rgb="FF444444"/>
        <rFont val="Open Sans"/>
        <family val="2"/>
      </rPr>
      <t xml:space="preserve">¿Se elabora el Plan de Gestión de Riesgos Psicosociales (SGSST-PI-08-05)? ¿Es aprobado y firmado por el Administrador de Obra? </t>
    </r>
  </si>
  <si>
    <r>
      <rPr>
        <b/>
        <sz val="11"/>
        <color rgb="FF444444"/>
        <rFont val="Open Sans"/>
        <family val="2"/>
      </rPr>
      <t>16.2.</t>
    </r>
    <r>
      <rPr>
        <sz val="11"/>
        <color rgb="FF444444"/>
        <rFont val="Open Sans"/>
        <family val="2"/>
      </rPr>
      <t xml:space="preserve"> ¿Se elabora el Programa de Riesgos Psicosociales (SGSST-PI-08-R-02)? ¿Es aprobado y firmado por el Administrador de Obra? </t>
    </r>
  </si>
  <si>
    <r>
      <rPr>
        <b/>
        <sz val="11"/>
        <color rgb="FF444444"/>
        <rFont val="Open Sans"/>
        <family val="2"/>
      </rPr>
      <t>16.3.</t>
    </r>
    <r>
      <rPr>
        <sz val="11"/>
        <color rgb="FF444444"/>
        <rFont val="Open Sans"/>
        <family val="2"/>
      </rPr>
      <t xml:space="preserve"> ¿Se mantiene actualizada la matriz IPER incluyendo la identificación de los peligros, evaluación de los riesgos y medidas de control asociados a la exposición de Riesgos Psicosociales?</t>
    </r>
  </si>
  <si>
    <r>
      <rPr>
        <b/>
        <sz val="11"/>
        <color rgb="FF444444"/>
        <rFont val="Open Sans"/>
        <family val="2"/>
      </rPr>
      <t>16.4.</t>
    </r>
    <r>
      <rPr>
        <sz val="11"/>
        <color rgb="FF444444"/>
        <rFont val="Open Sans"/>
        <family val="2"/>
      </rPr>
      <t xml:space="preserve"> Se formo el comité de aplicación (Riesgos Psicosociales) Se evidencia la constitución y funcionamiento del  Comité  y el seguimiento a medidas de control (Actas mensuales) y Carta Gantt (SGSST-PI-08-R-02 ).</t>
    </r>
  </si>
  <si>
    <r>
      <rPr>
        <b/>
        <sz val="11"/>
        <color rgb="FF444444"/>
        <rFont val="Open Sans"/>
        <family val="2"/>
      </rPr>
      <t>16.5</t>
    </r>
    <r>
      <rPr>
        <sz val="11"/>
        <color rgb="FF444444"/>
        <rFont val="Open Sans"/>
        <family val="2"/>
      </rPr>
      <t>. Serealiza la sensibilización atoda la obra</t>
    </r>
  </si>
  <si>
    <r>
      <rPr>
        <b/>
        <sz val="11"/>
        <color rgb="FF444444"/>
        <rFont val="Open Sans"/>
        <family val="2"/>
      </rPr>
      <t>16.6. </t>
    </r>
    <r>
      <rPr>
        <sz val="11"/>
        <color rgb="FF444444"/>
        <rFont val="Open Sans"/>
        <family val="2"/>
      </rPr>
      <t>Aplico el instrumento CEAL-SM /SUSESO. (Si es en fisico, se debe pasar a la plataforma de SUSESO)</t>
    </r>
  </si>
  <si>
    <r>
      <rPr>
        <b/>
        <sz val="11"/>
        <color rgb="FF444444"/>
        <rFont val="Open Sans"/>
        <family val="2"/>
      </rPr>
      <t>16.7</t>
    </r>
    <r>
      <rPr>
        <sz val="11"/>
        <color rgb="FF444444"/>
        <rFont val="Open Sans"/>
        <family val="2"/>
      </rPr>
      <t>.  Cuenta con Informe de resultados de aplicación de instrumento CEAL-SM /SUSESO. ¿Se presento los resultados, discución y analisis?</t>
    </r>
  </si>
  <si>
    <r>
      <t>16.8. </t>
    </r>
    <r>
      <rPr>
        <sz val="11"/>
        <color rgb="FF444444"/>
        <rFont val="Open Sans"/>
        <family val="2"/>
      </rPr>
      <t>Se proponenen las medidas de intervención para cada Dimensión.</t>
    </r>
  </si>
  <si>
    <r>
      <t>22.4. </t>
    </r>
    <r>
      <rPr>
        <sz val="11"/>
        <color rgb="FF444444"/>
        <rFont val="Open Sans"/>
        <family val="2"/>
      </rPr>
      <t>Se encuentra evidencia del Comité de Aplicación en el seguimiento a medidas de control (Actas mensuales) y Carta Gantt (SGSSO-PI-08-R-02 ).</t>
    </r>
  </si>
  <si>
    <r>
      <t>16.9. </t>
    </r>
    <r>
      <rPr>
        <sz val="11"/>
        <color rgb="FF444444"/>
        <rFont val="Open Sans"/>
        <family val="2"/>
      </rPr>
      <t xml:space="preserve">Se realiza monitoreo y verificación a las medidasd e intervención por dimensión. </t>
    </r>
  </si>
  <si>
    <r>
      <t>22.10. </t>
    </r>
    <r>
      <rPr>
        <sz val="11"/>
        <color rgb="FF444444"/>
        <rFont val="Open Sans"/>
        <family val="2"/>
      </rPr>
      <t>Se realiza reevaluación en las fechas determinadas de acuerdo a lo indicado en informe de resultados.</t>
    </r>
  </si>
  <si>
    <r>
      <rPr>
        <b/>
        <sz val="11"/>
        <color rgb="FF444444"/>
        <rFont val="Open Sans"/>
        <family val="2"/>
      </rPr>
      <t>17.1</t>
    </r>
    <r>
      <rPr>
        <sz val="11"/>
        <color rgb="FF444444"/>
        <rFont val="Open Sans"/>
        <family val="2"/>
      </rPr>
      <t xml:space="preserve">. ¿Se elabora el Plan de Gestión de Manejo Manual de Cargas  (SGSST-PI-08-010)? ¿Es aprobado y firmado por el Administrador de Obra? </t>
    </r>
  </si>
  <si>
    <r>
      <rPr>
        <b/>
        <sz val="11"/>
        <color rgb="FF444444"/>
        <rFont val="Open Sans"/>
        <family val="2"/>
      </rPr>
      <t xml:space="preserve">17.2. </t>
    </r>
    <r>
      <rPr>
        <sz val="11"/>
        <color rgb="FF444444"/>
        <rFont val="Open Sans"/>
        <family val="2"/>
      </rPr>
      <t xml:space="preserve">¿Se elabora el Programa de Manejo Manual de Cargas  (SGSST-PI-08-R-02)? ¿Es aprobado y firmado por el Administrador de Obra? </t>
    </r>
  </si>
  <si>
    <r>
      <rPr>
        <b/>
        <sz val="11"/>
        <color rgb="FF444444"/>
        <rFont val="Open Sans"/>
        <family val="2"/>
      </rPr>
      <t>17.3</t>
    </r>
    <r>
      <rPr>
        <sz val="11"/>
        <color rgb="FF444444"/>
        <rFont val="Open Sans"/>
        <family val="2"/>
      </rPr>
      <t xml:space="preserve"> ¿Se mantiene actualizada la matriz IPER incluyendo la identificación de los peligros, evaluación de los riesgos y medidas de control asociados a la exposición de Manejo Manual de Cargas?</t>
    </r>
  </si>
  <si>
    <r>
      <rPr>
        <b/>
        <sz val="11"/>
        <color rgb="FF444444"/>
        <rFont val="Open Sans"/>
        <family val="2"/>
      </rPr>
      <t>17.4.</t>
    </r>
    <r>
      <rPr>
        <sz val="11"/>
        <color rgb="FF444444"/>
        <rFont val="Open Sans"/>
        <family val="2"/>
      </rPr>
      <t> Se ha realizado la difusión de la Guía Técnica de MMC a sus trabajadores.</t>
    </r>
  </si>
  <si>
    <r>
      <rPr>
        <b/>
        <sz val="11"/>
        <color rgb="FF444444"/>
        <rFont val="Open Sans"/>
        <family val="2"/>
      </rPr>
      <t>17.5.</t>
    </r>
    <r>
      <rPr>
        <sz val="11"/>
        <color rgb="FF444444"/>
        <rFont val="Open Sans"/>
        <family val="2"/>
      </rPr>
      <t> Se ha realizado taller teórico / práctico para aplicación de Método MAC, y han participado los implementadores por parte de la obra.</t>
    </r>
  </si>
  <si>
    <r>
      <rPr>
        <b/>
        <sz val="11"/>
        <color rgb="FF444444"/>
        <rFont val="Open Sans"/>
        <family val="2"/>
      </rPr>
      <t>17.6</t>
    </r>
    <r>
      <rPr>
        <sz val="11"/>
        <color rgb="FF444444"/>
        <rFont val="Open Sans"/>
        <family val="2"/>
      </rPr>
      <t>. ¿Existe identificación inicial del riesgo? (SGSST-PI-08-010-R-01)</t>
    </r>
  </si>
  <si>
    <r>
      <rPr>
        <b/>
        <sz val="11"/>
        <color rgb="FF444444"/>
        <rFont val="Open Sans"/>
        <family val="2"/>
      </rPr>
      <t>17.7</t>
    </r>
    <r>
      <rPr>
        <sz val="11"/>
        <color rgb="FF444444"/>
        <rFont val="Open Sans"/>
        <family val="2"/>
      </rPr>
      <t xml:space="preserve">. Se aplican las tablas de identificación del riesgo (Tablas 1 y 2), y las evaluaciones avanzadas aceptables y críticas  (Tablas 3 y 4), (Tablas 5 y 6), (Tablas 7 y 8). Evidenciar con las cartillas en físico. </t>
    </r>
  </si>
  <si>
    <r>
      <rPr>
        <b/>
        <sz val="11"/>
        <color rgb="FF444444"/>
        <rFont val="Open Sans"/>
        <family val="2"/>
      </rPr>
      <t>17.8</t>
    </r>
    <r>
      <rPr>
        <sz val="11"/>
        <color rgb="FF444444"/>
        <rFont val="Open Sans"/>
        <family val="2"/>
      </rPr>
      <t xml:space="preserve">. Si existe una condición critica se deben realizar los métodos de evaluación inicial  (MAC, VMAC*, RAPP) </t>
    </r>
  </si>
  <si>
    <r>
      <rPr>
        <b/>
        <sz val="11"/>
        <color rgb="FF444444"/>
        <rFont val="Open Sans"/>
        <family val="2"/>
      </rPr>
      <t>17.9</t>
    </r>
    <r>
      <rPr>
        <sz val="11"/>
        <color rgb="FF444444"/>
        <rFont val="Open Sans"/>
        <family val="2"/>
      </rPr>
      <t>. La obra implemento medidas de corrección de las condiciones críticas. (60 días de plazo) evidenciar tabla N°9.</t>
    </r>
  </si>
  <si>
    <r>
      <t>17.10.  </t>
    </r>
    <r>
      <rPr>
        <sz val="11"/>
        <color rgb="FF444444"/>
        <rFont val="Open Sans"/>
        <family val="2"/>
      </rPr>
      <t>(Reevaluación) Existe informe de seguimiento de implementación de medidas de control en empresas con Condiciones criticas. (Resultados de la reevaluación).</t>
    </r>
  </si>
  <si>
    <r>
      <t>23.3. </t>
    </r>
    <r>
      <rPr>
        <sz val="11"/>
        <color rgb="FF444444"/>
        <rFont val="Open Sans"/>
        <family val="2"/>
      </rPr>
      <t>(Reevaluación) Existe informe de seguimiento de implementación de medidas de control en empresas con Condiciones criticas. (Resultados de la Reevaluación (evaluación de la efectividad de las medidas correctivas).</t>
    </r>
  </si>
  <si>
    <r>
      <t>17.11.  </t>
    </r>
    <r>
      <rPr>
        <sz val="11"/>
        <color rgb="FF444444"/>
        <rFont val="Open Sans"/>
        <family val="2"/>
      </rPr>
      <t>(Reevaluación) Existe plan de acción correctivo para la eliminación y/o disminución de la magnitud del riesgo. 60 días de plazo.</t>
    </r>
  </si>
  <si>
    <r>
      <t>23.8. </t>
    </r>
    <r>
      <rPr>
        <sz val="11"/>
        <color rgb="FF444444"/>
        <rFont val="Open Sans"/>
        <family val="2"/>
      </rPr>
      <t>(Reevaluación) Existe plan de acción correctivo para la eliminación y/o disminución de la magnitud del riesgo. Se verifica mediante la misma metodología de evaluación utilizada previamente. 60 días de plazo.</t>
    </r>
  </si>
  <si>
    <r>
      <t xml:space="preserve">19.1 </t>
    </r>
    <r>
      <rPr>
        <sz val="11"/>
        <color rgb="FF444444"/>
        <rFont val="Open Sans"/>
        <family val="2"/>
      </rPr>
      <t>¿Cuando sea necesario ingresar algún equipo o maquinaria sobre alguna losa o estructura debemos contar con un informe de cálculo?</t>
    </r>
  </si>
  <si>
    <r>
      <t xml:space="preserve">19.2 </t>
    </r>
    <r>
      <rPr>
        <sz val="11"/>
        <color rgb="FF444444"/>
        <rFont val="Open Sans"/>
        <family val="2"/>
      </rPr>
      <t>¿Cuando por la naturaleza de los trabajos se deban realizar rellenos con material integral o escombro, se verifica su asentamiento y/o compactación?</t>
    </r>
  </si>
  <si>
    <r>
      <t xml:space="preserve">19.3 </t>
    </r>
    <r>
      <rPr>
        <sz val="11"/>
        <color rgb="FF444444"/>
        <rFont val="Open Sans"/>
        <family val="2"/>
      </rPr>
      <t>¿Se retira todo material excedente que sobrecarga losas de trabajo?</t>
    </r>
  </si>
  <si>
    <r>
      <t xml:space="preserve">19.4 </t>
    </r>
    <r>
      <rPr>
        <sz val="11"/>
        <color rgb="FF444444"/>
        <rFont val="Open Sans"/>
        <family val="2"/>
      </rPr>
      <t>¿Se realizan dilataciones en muros medianeros o estructuras colindantes antes de demoler?</t>
    </r>
  </si>
  <si>
    <r>
      <t xml:space="preserve">19.5 </t>
    </r>
    <r>
      <rPr>
        <sz val="11"/>
        <color rgb="FF444444"/>
        <rFont val="Open Sans"/>
        <family val="2"/>
      </rPr>
      <t>¿La instalación o estructura se encuentra libre de asbesto para poder ejecutar la desmantelación o demolición?</t>
    </r>
  </si>
  <si>
    <r>
      <t xml:space="preserve">19.6 </t>
    </r>
    <r>
      <rPr>
        <sz val="11"/>
        <color rgb="FF444444"/>
        <rFont val="Open Sans"/>
        <family val="2"/>
      </rPr>
      <t>¿Todos los servicios eléctricos, de gas, agua o cualquier otro, han sido verificados bajo el protocolo de Energía Cero por personal especializado y autorizado?</t>
    </r>
  </si>
  <si>
    <r>
      <t xml:space="preserve">19.7 </t>
    </r>
    <r>
      <rPr>
        <sz val="11"/>
        <color rgb="FF444444"/>
        <rFont val="Open Sans"/>
        <family val="2"/>
      </rPr>
      <t>¿Los lugares donde se efectúen los trabajos de demolición se encuentran bien iluminados?</t>
    </r>
  </si>
  <si>
    <r>
      <t xml:space="preserve">19.8 </t>
    </r>
    <r>
      <rPr>
        <sz val="11"/>
        <color rgb="FF444444"/>
        <rFont val="Open Sans"/>
        <family val="2"/>
      </rPr>
      <t>¿los tendidos eléctricos provisionales o extensiones de encuentran en buenas condiciones e instaladas por vía aérea?</t>
    </r>
  </si>
  <si>
    <r>
      <t>19.9. </t>
    </r>
    <r>
      <rPr>
        <sz val="11"/>
        <color rgb="FF444444"/>
        <rFont val="Open Sans"/>
        <family val="2"/>
      </rPr>
      <t>Cuando una estructura por demoler ha sido parcialmente destruida (por el fuego, inundación, explosión, temblor u otra causa), las murallas o cualquier pare del edificio afectada, ¿Ha sido apuntalada o afirmada de manera que evite todo peligro, antes de comenzar con los trabajos?</t>
    </r>
  </si>
  <si>
    <r>
      <t>17.10. </t>
    </r>
    <r>
      <rPr>
        <sz val="11"/>
        <color rgb="FF444444"/>
        <rFont val="Open Sans"/>
        <family val="2"/>
      </rPr>
      <t>Cuando una estructura por demoler ha sido parcialmente destruida (por el fuego, inundación, explosión, temblor u otra causa), las murallas o cualquier pare del edificio afectada, ¿Ha sido apuntalada o afirmada de manera que evite todo peligro, antes de comenzar con los trabajos?</t>
    </r>
  </si>
  <si>
    <r>
      <t>19.10. </t>
    </r>
    <r>
      <rPr>
        <sz val="11"/>
        <color rgb="FF444444"/>
        <rFont val="Open Sans"/>
        <family val="2"/>
      </rPr>
      <t>Las aceras, pasajes o vías públicas que no sea posible cerrar o independizar, con motivo de una demolición, ¿Se mantienen limpias y expeditas permanentemente?</t>
    </r>
  </si>
  <si>
    <r>
      <t>17.19. </t>
    </r>
    <r>
      <rPr>
        <sz val="11"/>
        <color rgb="FF444444"/>
        <rFont val="Open Sans"/>
        <family val="2"/>
      </rPr>
      <t>Las aceras, pasajes o ví­as públicas que no sea posible cerrar o independizar, con motivo de una demolición, ¿Se mantienen limpias y expeditas permanentemente?</t>
    </r>
  </si>
  <si>
    <r>
      <t>19.11. </t>
    </r>
    <r>
      <rPr>
        <sz val="11"/>
        <color rgb="FF444444"/>
        <rFont val="Open Sans"/>
        <family val="2"/>
      </rPr>
      <t>Durante el carguío por pala mecánica o retroexcavadora, ¿El conductor abandona la cabina durante esta faena?</t>
    </r>
  </si>
  <si>
    <r>
      <t>17.21. </t>
    </r>
    <r>
      <rPr>
        <sz val="11"/>
        <color rgb="FF444444"/>
        <rFont val="Open Sans"/>
        <family val="2"/>
      </rPr>
      <t>Durante el carguí­o por pala mecí¡nica o retroexcavadora, ¿El conductor abandona la cabina durante esta faena?</t>
    </r>
  </si>
  <si>
    <r>
      <t>19.12. </t>
    </r>
    <r>
      <rPr>
        <sz val="11"/>
        <color rgb="FF444444"/>
        <rFont val="Open Sans"/>
        <family val="2"/>
      </rPr>
      <t>En demoliciones de dos o mas pisos que se encuentren adosadas a la acera, ¿Se ha construido un pasadizo peatonal de al menos 2,5 m de alto y 2 m de ancho, de estructura resistente y recubierto con tabla machihembrada u otro material que impida la caí­da de polvo o partículas hacia la acera?</t>
    </r>
  </si>
  <si>
    <r>
      <t>17.24. </t>
    </r>
    <r>
      <rPr>
        <sz val="11"/>
        <color rgb="FF444444"/>
        <rFont val="Open Sans"/>
        <family val="2"/>
      </rPr>
      <t>En demoliciones de dos o mas pisos que se encuentren adosadas a la acera, ¿Se ha construido un pasadizo peatonal de al menos 2,5 m de alto y 2 m de ancho, de estructura resistente y recubierto con tabla machihembrada u otro material que impida la caí­da de polvo o partí­culas hacia la acera?</t>
    </r>
  </si>
  <si>
    <r>
      <t>19.13. </t>
    </r>
    <r>
      <rPr>
        <sz val="11"/>
        <color rgb="FF444444"/>
        <rFont val="Open Sans"/>
        <family val="2"/>
      </rPr>
      <t>Al final de cada día de Trabajo en una demolición, ¿la estabilidad de las paredes y de otros elementos queda asegurada con el fin de evitar derrumbes?</t>
    </r>
  </si>
  <si>
    <r>
      <t>17.32. </t>
    </r>
    <r>
      <rPr>
        <sz val="11"/>
        <color rgb="FF444444"/>
        <rFont val="Open Sans"/>
        <family val="2"/>
      </rPr>
      <t>Al final de cada dí­a de Trabajo en una demolición, ¿la estabilidad de las paredes y de otros elementos queda asegurada con el fin de evitar derrumbes?</t>
    </r>
  </si>
  <si>
    <r>
      <t>19.14. </t>
    </r>
    <r>
      <rPr>
        <sz val="11"/>
        <color rgb="FF444444"/>
        <rFont val="Open Sans"/>
        <family val="2"/>
      </rPr>
      <t>¿Se prohíbe la realización de trabajo en el lado contrapuesto del muro donde se esté realizando demolición por maquinaria a una distancia superior a 1,5 veces la proyección de caída del muro?</t>
    </r>
  </si>
  <si>
    <r>
      <t>17.69. </t>
    </r>
    <r>
      <rPr>
        <sz val="11"/>
        <color rgb="FF444444"/>
        <rFont val="Open Sans"/>
        <family val="2"/>
      </rPr>
      <t>¿Se prohibe la realización de trabajo en el lado contrapuesto del muro donde se esté realizando demolición por maquinaria a una distancia superior a 1,5 veces la proyección de caí­da del muro?</t>
    </r>
  </si>
  <si>
    <r>
      <t>19.15. </t>
    </r>
    <r>
      <rPr>
        <sz val="11"/>
        <color rgb="FF444444"/>
        <rFont val="Open Sans"/>
        <family val="2"/>
      </rPr>
      <t>Durante la demolición de estructuras de acero, ¿ los elementos que forman la estructura se bajan con equipos adecuados y no se permite que estos se arrojen libremente?</t>
    </r>
  </si>
  <si>
    <r>
      <t>17.70. </t>
    </r>
    <r>
      <rPr>
        <sz val="11"/>
        <color rgb="FF444444"/>
        <rFont val="Open Sans"/>
        <family val="2"/>
      </rPr>
      <t>Durante la demolición de estructuras de acero, ¿ los elementos que forman la estructura se bajan con equipos adecuados y no se permite que estos se arrojen libremente?</t>
    </r>
  </si>
  <si>
    <r>
      <t>19.16. </t>
    </r>
    <r>
      <rPr>
        <sz val="11"/>
        <color rgb="FF444444"/>
        <rFont val="Open Sans"/>
        <family val="2"/>
      </rPr>
      <t>En demoliciones de edificios separados de la acera, pero a una distancia menor a 2 m, ¿Se ha construido una pantalla con las caracterí­sticas mencionadas en el punto anterior, a nivel del piso donde se encuentren trabajando?</t>
    </r>
  </si>
  <si>
    <r>
      <t>17.72. </t>
    </r>
    <r>
      <rPr>
        <sz val="11"/>
        <color rgb="FF444444"/>
        <rFont val="Open Sans"/>
        <family val="2"/>
      </rPr>
      <t>En demoliciones de edificios separados de la acera, pero a una distancia menor a 2 m, ¿Se ha construido una pantalla con las caracterí­sticas mencionadas en el punto anterior, a nivel del piso donde se encuentren trabajando?</t>
    </r>
  </si>
  <si>
    <r>
      <t xml:space="preserve">19.17. </t>
    </r>
    <r>
      <rPr>
        <sz val="11"/>
        <color rgb="FF444444"/>
        <rFont val="Open Sans"/>
        <family val="2"/>
      </rPr>
      <t>¿El cierre perimetral de la obra, se encuentra en buenas condiciones, señalizado, resistentes a fuertes vientos, sismos, etc.?</t>
    </r>
  </si>
  <si>
    <r>
      <t>17.74. </t>
    </r>
    <r>
      <rPr>
        <sz val="11"/>
        <color rgb="FF444444"/>
        <rFont val="Open Sans"/>
        <family val="2"/>
      </rPr>
      <t>La faena de Constucción, transformación y/o demolición, ¿se encuentra aislada de la ví­a pública por medio de un cierro provisional de material adecuado y de altura no inferior a 2 m.?</t>
    </r>
  </si>
  <si>
    <r>
      <t>19.18. </t>
    </r>
    <r>
      <rPr>
        <sz val="11"/>
        <color rgb="FF444444"/>
        <rFont val="Open Sans"/>
        <family val="2"/>
      </rPr>
      <t>¿Se efectúa revisión diaria (por parte del supervisor a cargo de la faena) del borde superior de la excavación, cuando este no cuente con entibaciones, para advertir la posible aparición de grietas que puedan indicar alguna posible falla del terreno?</t>
    </r>
  </si>
  <si>
    <r>
      <t>17.84. </t>
    </r>
    <r>
      <rPr>
        <sz val="11"/>
        <color rgb="FF444444"/>
        <rFont val="Open Sans"/>
        <family val="2"/>
      </rPr>
      <t>¿Se efectúa revisión diaria (por parte del supervisor a cargo de la faena) del borde superior de la excavación, cuando este no cuente con entibaciones, para advertir la posible aparición de grietas que puedan indicar alguna posible falla del terreno?</t>
    </r>
  </si>
  <si>
    <r>
      <t>19.19. </t>
    </r>
    <r>
      <rPr>
        <sz val="11"/>
        <color rgb="FF444444"/>
        <rFont val="Open Sans"/>
        <family val="2"/>
      </rPr>
      <t>¿Se han adoptado todas las medidas para evitar la producción de polvo?</t>
    </r>
  </si>
  <si>
    <r>
      <t>17.90. </t>
    </r>
    <r>
      <rPr>
        <sz val="11"/>
        <color rgb="FF444444"/>
        <rFont val="Open Sans"/>
        <family val="2"/>
      </rPr>
      <t>¿Se han adoptado todas las medidas para evitar la producción de polvo?</t>
    </r>
  </si>
  <si>
    <r>
      <t>19.20. </t>
    </r>
    <r>
      <rPr>
        <sz val="11"/>
        <color rgb="FF444444"/>
        <rFont val="Open Sans"/>
        <family val="2"/>
      </rPr>
      <t>El cierro perimetral, en el caso de demolición de fachada, ¿es construido en todo el frente de la propiedad y separado de ella a lo menos 2 m del plomo de la fachada?</t>
    </r>
  </si>
  <si>
    <r>
      <t>17.101. </t>
    </r>
    <r>
      <rPr>
        <sz val="11"/>
        <color rgb="FF444444"/>
        <rFont val="Open Sans"/>
        <family val="2"/>
      </rPr>
      <t>El cierro perimetral, en el caso de demolición de fachada, ¿es construido en todo el frente de la propiedad y separado de ella a lo menos 2 m del plomo de la fachada?</t>
    </r>
  </si>
  <si>
    <r>
      <t>19.21. </t>
    </r>
    <r>
      <rPr>
        <sz val="11"/>
        <color rgb="FF444444"/>
        <rFont val="Open Sans"/>
        <family val="2"/>
      </rPr>
      <t>¿Se han solicitado los planos de Instalaciones y construcciones respecto al lugar donde se realiza una demolición o desmantelamiento? (Considerando especial énfasis en tendidos de electricidad y gas)</t>
    </r>
  </si>
  <si>
    <r>
      <t>17.106. </t>
    </r>
    <r>
      <rPr>
        <sz val="11"/>
        <color rgb="FF444444"/>
        <rFont val="Open Sans"/>
        <family val="2"/>
      </rPr>
      <t>¿Se han solicitado los planos de Instalaciones y construcciones respecto al lugar donde se realiza la excavación? (Considerando especial énfasis en tendidos subterrí¡neos de electricidad y gas)</t>
    </r>
  </si>
  <si>
    <r>
      <rPr>
        <b/>
        <sz val="11"/>
        <color rgb="FF444444"/>
        <rFont val="Open Sans"/>
        <family val="2"/>
      </rPr>
      <t xml:space="preserve">20.1 </t>
    </r>
    <r>
      <rPr>
        <sz val="11"/>
        <color rgb="FF444444"/>
        <rFont val="Open Sans"/>
        <family val="2"/>
      </rPr>
      <t>¿Se realizan las cartillas de pilares de seguridad cuando se realicen trabajos; de Conducción de Vehículos y Equipos, con Maquinaria, en Altura, con Energías, en Excavaciones, con cargas suspendidas, en caliente?</t>
    </r>
  </si>
  <si>
    <r>
      <t xml:space="preserve">20.2 </t>
    </r>
    <r>
      <rPr>
        <sz val="11"/>
        <color rgb="FF444444"/>
        <rFont val="Open Sans"/>
        <family val="2"/>
      </rPr>
      <t>¿Todos los trabajadores han sido capacitados en la elaboración de las cartillas de Pilares de Seguridad? Cuando su trabajo lo amerite.</t>
    </r>
  </si>
  <si>
    <r>
      <t xml:space="preserve">20.3 </t>
    </r>
    <r>
      <rPr>
        <sz val="11"/>
        <color rgb="FF444444"/>
        <rFont val="Open Sans"/>
        <family val="2"/>
      </rPr>
      <t>¿Cuenta con un Plan de Emergencia que permita asistir en forma oportuna en un eventual accidente o incidente relacionado con los Pilares de Seguridad?</t>
    </r>
  </si>
  <si>
    <r>
      <t xml:space="preserve">20.4 </t>
    </r>
    <r>
      <rPr>
        <sz val="11"/>
        <color rgb="FF444444"/>
        <rFont val="Open Sans"/>
        <family val="2"/>
      </rPr>
      <t>PILAR CONDUCCIÓN DE VEHÍCULOS Y EQUIPOS ¿Los trabajadores nuevos, la primera vuelta en ruta, el conductor fue acompañado por personal autorizado por la obra?</t>
    </r>
  </si>
  <si>
    <r>
      <t xml:space="preserve">20.5 </t>
    </r>
    <r>
      <rPr>
        <sz val="11"/>
        <color rgb="FF444444"/>
        <rFont val="Open Sans"/>
        <family val="2"/>
      </rPr>
      <t>PILAR CONDUCCIÓN DE VEHÍCULOS Y EQUIPOS ¿Se toman acciones de fatiga y somnolencia?</t>
    </r>
  </si>
  <si>
    <r>
      <t xml:space="preserve">20.6 </t>
    </r>
    <r>
      <rPr>
        <sz val="11"/>
        <color rgb="FF444444"/>
        <rFont val="Open Sans"/>
        <family val="2"/>
      </rPr>
      <t>PILAR CONDUCCIÓN DE VEHÍCULOS Y EQUIPOS ¿Los Operadores tienen aprobado su examen de salud y examen psicosensotécnico?</t>
    </r>
  </si>
  <si>
    <r>
      <t xml:space="preserve">20.7 </t>
    </r>
    <r>
      <rPr>
        <sz val="11"/>
        <color rgb="FF444444"/>
        <rFont val="Open Sans"/>
        <family val="2"/>
      </rPr>
      <t>MAQUINARIA ¿Las partes móviles o que presenten algun riesgo de atrapamiento, estan señalizadas y/o proteguidas adecuadamente?</t>
    </r>
  </si>
  <si>
    <r>
      <t xml:space="preserve">20.8 </t>
    </r>
    <r>
      <rPr>
        <sz val="11"/>
        <color rgb="FF444444"/>
        <rFont val="Open Sans"/>
        <family val="2"/>
      </rPr>
      <t>MAQUINARIA ¿Operador cuenta con certificación de acuerdo su maquinaria? (si es que aplica)?</t>
    </r>
  </si>
  <si>
    <r>
      <t xml:space="preserve">20.9 </t>
    </r>
    <r>
      <rPr>
        <sz val="11"/>
        <color rgb="FF444444"/>
        <rFont val="Open Sans"/>
        <family val="2"/>
      </rPr>
      <t>TRABAJOS EN ALTURA</t>
    </r>
    <r>
      <rPr>
        <b/>
        <sz val="11"/>
        <color rgb="FF444444"/>
        <rFont val="Open Sans"/>
        <family val="2"/>
      </rPr>
      <t xml:space="preserve"> </t>
    </r>
    <r>
      <rPr>
        <sz val="11"/>
        <color rgb="FF444444"/>
        <rFont val="Open Sans"/>
        <family val="2"/>
      </rPr>
      <t>¿Se dejo escrito cuál es el punto de anclaje en el ART?</t>
    </r>
  </si>
  <si>
    <r>
      <t xml:space="preserve">20.10 </t>
    </r>
    <r>
      <rPr>
        <sz val="11"/>
        <color rgb="FF444444"/>
        <rFont val="Open Sans"/>
        <family val="2"/>
      </rPr>
      <t>TRABAJOS EN ALTURA</t>
    </r>
    <r>
      <rPr>
        <b/>
        <sz val="11"/>
        <color rgb="FF444444"/>
        <rFont val="Open Sans"/>
        <family val="2"/>
      </rPr>
      <t xml:space="preserve"> </t>
    </r>
    <r>
      <rPr>
        <sz val="11"/>
        <color rgb="FF444444"/>
        <rFont val="Open Sans"/>
        <family val="2"/>
      </rPr>
      <t>¿Las plataformas de trabajo están revisadas y aprobadas de forma diaria (Tarjeta Verde)?</t>
    </r>
  </si>
  <si>
    <r>
      <t xml:space="preserve">20.11 </t>
    </r>
    <r>
      <rPr>
        <sz val="11"/>
        <color rgb="FF444444"/>
        <rFont val="Open Sans"/>
        <family val="2"/>
      </rPr>
      <t>TRABAJOS EN ALTURA</t>
    </r>
    <r>
      <rPr>
        <b/>
        <sz val="11"/>
        <color rgb="FF444444"/>
        <rFont val="Open Sans"/>
        <family val="2"/>
      </rPr>
      <t xml:space="preserve"> </t>
    </r>
    <r>
      <rPr>
        <sz val="11"/>
        <color rgb="FF444444"/>
        <rFont val="Open Sans"/>
        <family val="2"/>
      </rPr>
      <t>¿Los trabajadores tienen los exámenes físicos para trabajos en altura vigentes?</t>
    </r>
  </si>
  <si>
    <r>
      <t xml:space="preserve">20.12 </t>
    </r>
    <r>
      <rPr>
        <sz val="11"/>
        <color rgb="FF444444"/>
        <rFont val="Open Sans"/>
        <family val="2"/>
      </rPr>
      <t>CONTACTO CON ENERGÍAS ¿Se verifica la desenergización, aislación, bloqueo y Energia Cero de los equipos que intervienen?</t>
    </r>
  </si>
  <si>
    <r>
      <t xml:space="preserve">20.13 </t>
    </r>
    <r>
      <rPr>
        <sz val="11"/>
        <color rgb="FF444444"/>
        <rFont val="Open Sans"/>
        <family val="2"/>
      </rPr>
      <t>CONTACTO CON ENERGÍAS ¿La actividad cuenta con un procedimiento general o especifico y/o instructivo?</t>
    </r>
  </si>
  <si>
    <r>
      <t xml:space="preserve">20.14 </t>
    </r>
    <r>
      <rPr>
        <sz val="11"/>
        <color rgb="FF444444"/>
        <rFont val="Open Sans"/>
        <family val="2"/>
      </rPr>
      <t>CONTACTO CON ENERGÍAS ¿Los trabajadores cuentan con habilidades y conocimientos requeridos para efectuar trabajos que involucren la exposición directa a alguna forma de energía?</t>
    </r>
  </si>
  <si>
    <r>
      <t xml:space="preserve">20.15 </t>
    </r>
    <r>
      <rPr>
        <sz val="11"/>
        <color rgb="FF444444"/>
        <rFont val="Open Sans"/>
        <family val="2"/>
      </rPr>
      <t xml:space="preserve">EXCAVACIONES ¿Existe estudio de mecánica de suelos? </t>
    </r>
  </si>
  <si>
    <r>
      <t xml:space="preserve">20.16 </t>
    </r>
    <r>
      <rPr>
        <sz val="11"/>
        <color rgb="FF444444"/>
        <rFont val="Open Sans"/>
        <family val="2"/>
      </rPr>
      <t>EXCAVACIONES ¿Las excavaciones cuenta con la delimitación, barreras duras y señalización?</t>
    </r>
  </si>
  <si>
    <r>
      <t xml:space="preserve">20.17 </t>
    </r>
    <r>
      <rPr>
        <sz val="11"/>
        <color rgb="FF444444"/>
        <rFont val="Open Sans"/>
        <family val="2"/>
      </rPr>
      <t>EXCAVACIONES ¿Las excavaciones cuenta con la delimitación, barreras duras y señalización?</t>
    </r>
  </si>
  <si>
    <r>
      <t xml:space="preserve">20.18 </t>
    </r>
    <r>
      <rPr>
        <sz val="11"/>
        <color rgb="FF444444"/>
        <rFont val="Open Sans"/>
        <family val="2"/>
      </rPr>
      <t>IZAJE Y CARGAS SUSPENDIDAS ¿Se identifican y respetan las distancias mínimas a líneas energizadas?</t>
    </r>
  </si>
  <si>
    <r>
      <t xml:space="preserve">20.19 </t>
    </r>
    <r>
      <rPr>
        <sz val="11"/>
        <color rgb="FF444444"/>
        <rFont val="Open Sans"/>
        <family val="2"/>
      </rPr>
      <t>IZAJE Y CARGAS SUSPENDIDAS ¿Los equipo y elementos a utilizar estan certificado y su documentación vigente?</t>
    </r>
  </si>
  <si>
    <r>
      <t xml:space="preserve">20.20 </t>
    </r>
    <r>
      <rPr>
        <sz val="11"/>
        <color rgb="FF444444"/>
        <rFont val="Open Sans"/>
        <family val="2"/>
      </rPr>
      <t>IZAJE Y CARGAS SUSPENDIDAS ¿Realizo y reviso con el operador el protocolo de maniobra
de izaje?</t>
    </r>
  </si>
  <si>
    <r>
      <t xml:space="preserve">20.21 </t>
    </r>
    <r>
      <rPr>
        <sz val="11"/>
        <color rgb="FF444444"/>
        <rFont val="Open Sans"/>
        <family val="2"/>
      </rPr>
      <t>TRABAJOS EN CALIENTE ¿Se ha realizado un simulacro de emergencia frente a un incendio en las instalaciones?</t>
    </r>
  </si>
  <si>
    <r>
      <t xml:space="preserve">20.22 </t>
    </r>
    <r>
      <rPr>
        <sz val="11"/>
        <color rgb="FF444444"/>
        <rFont val="Open Sans"/>
        <family val="2"/>
      </rPr>
      <t>TRABAJOS EN CALIENTE ¿Se encuentran capacitados los vigilantes de fuego?</t>
    </r>
  </si>
  <si>
    <r>
      <t xml:space="preserve">20.23 </t>
    </r>
    <r>
      <rPr>
        <sz val="11"/>
        <color rgb="FF444444"/>
        <rFont val="Open Sans"/>
        <family val="2"/>
      </rPr>
      <t>TRABAJOS EN CALIENTE ¿Se protege con pantalla de contención ignífuga todos los equipos, materiales inflamables y combustibles del área?</t>
    </r>
  </si>
  <si>
    <t>19.2. ¿Se realizó la difusión de la Guía Técnica de radiación ultravioleta solar?</t>
  </si>
  <si>
    <t>19.3. ¿La empresa cuenta con un Programa de Capacitación teórico-práctico para los trabajadores expuestos a radiación ultravioleta solar?</t>
  </si>
  <si>
    <t>19.6. ¿Los vehículos o equipos operados al aire libre, cuentan con cabinas, parabrisas y vidrios laterales con láminas reductoras de radiación UV-A?</t>
  </si>
  <si>
    <t>19.9. ¿En operaciones con exposición directa a UV solar, se dispone y se usan elementos de protección personal acordes con el tipo de exposición solar?</t>
  </si>
  <si>
    <t>19.10. ¿Se remitió el registro de la difusión de la Guía Técnica de radiación ultravioleta solar a la Seremi de Salud e Inspección del Trabajo correspondiente?</t>
  </si>
  <si>
    <t>19.12. ¿Se publica diariamente y en un lugar visible el Índice de Radiación UV estimado y señalado por la Dirección Meteorológica de Chile?</t>
  </si>
  <si>
    <r>
      <rPr>
        <b/>
        <sz val="11"/>
        <color rgb="FF444444"/>
        <rFont val="Open Sans"/>
        <family val="2"/>
      </rPr>
      <t>13.5.</t>
    </r>
    <r>
      <rPr>
        <sz val="11"/>
        <color rgb="FF444444"/>
        <rFont val="Open Sans"/>
        <family val="2"/>
      </rPr>
      <t> ¿La empresa cuenta con un Programa de Capacitación teórico-práctico para los trabajadores expuestos a radiación ultravioleta solar?</t>
    </r>
  </si>
  <si>
    <r>
      <rPr>
        <b/>
        <sz val="11"/>
        <color rgb="FF444444"/>
        <rFont val="Open Sans"/>
        <family val="2"/>
      </rPr>
      <t>13.6.</t>
    </r>
    <r>
      <rPr>
        <sz val="11"/>
        <color rgb="FF444444"/>
        <rFont val="Open Sans"/>
        <family val="2"/>
      </rPr>
      <t> ¿Los vehículos o equipos operados al aire libre, cuentan con cabinas, parabrisas y vidrios laterales con láminas reductoras de radiación UV-A?</t>
    </r>
  </si>
  <si>
    <r>
      <rPr>
        <b/>
        <sz val="11"/>
        <color rgb="FF444444"/>
        <rFont val="Open Sans"/>
        <family val="2"/>
      </rPr>
      <t>13.7.</t>
    </r>
    <r>
      <rPr>
        <sz val="11"/>
        <color rgb="FF444444"/>
        <rFont val="Open Sans"/>
        <family val="2"/>
      </rPr>
      <t> ¿En operaciones con exposición directa a UV solar, se dispone y se usan elementos de protección personal acordes con el tipo de exposición solar?</t>
    </r>
  </si>
  <si>
    <r>
      <rPr>
        <b/>
        <sz val="11"/>
        <color rgb="FF444444"/>
        <rFont val="Open Sans"/>
        <family val="2"/>
      </rPr>
      <t>13.8. </t>
    </r>
    <r>
      <rPr>
        <sz val="11"/>
        <color rgb="FF444444"/>
        <rFont val="Open Sans"/>
        <family val="2"/>
      </rPr>
      <t>¿Se remitió el registro de la difusión de la Guía Técnica de radiación ultravioleta solar a la Seremi de Salud e Inspección del Trabajo correspondiente?</t>
    </r>
  </si>
  <si>
    <r>
      <rPr>
        <b/>
        <sz val="11"/>
        <color rgb="FF444444"/>
        <rFont val="Open Sans"/>
        <family val="2"/>
      </rPr>
      <t>13.9. </t>
    </r>
    <r>
      <rPr>
        <sz val="11"/>
        <color rgb="FF444444"/>
        <rFont val="Open Sans"/>
        <family val="2"/>
      </rPr>
      <t>¿Se publica diariamente y en un lugar visible el Índice de Radiación UV estimado y señalado por la Dirección Meteorológica de Chile?</t>
    </r>
  </si>
  <si>
    <r>
      <rPr>
        <b/>
        <sz val="11"/>
        <color rgb="FF444444"/>
        <rFont val="Open Sans"/>
        <family val="2"/>
      </rPr>
      <t>14.1</t>
    </r>
    <r>
      <rPr>
        <sz val="11"/>
        <color rgb="FF444444"/>
        <rFont val="Open Sans"/>
        <family val="2"/>
      </rPr>
      <t xml:space="preserve">. ¿Se elabora el Plan de Gestión  para la Vigilancia PREXOR (SGSSO-PI-08-07)? ¿Es aprobado y firmado por el Administrador de Obra? </t>
    </r>
  </si>
  <si>
    <r>
      <rPr>
        <b/>
        <sz val="11"/>
        <color rgb="FF444444"/>
        <rFont val="Open Sans"/>
        <family val="2"/>
      </rPr>
      <t xml:space="preserve">14.2. </t>
    </r>
    <r>
      <rPr>
        <sz val="11"/>
        <color rgb="FF444444"/>
        <rFont val="Open Sans"/>
        <family val="2"/>
      </rPr>
      <t xml:space="preserve">¿Se elabora el Programa PREXOR (SGSSO-PI-08-R-02)? ¿Es aprobado y firmado por el Administrador de Obra? </t>
    </r>
  </si>
  <si>
    <r>
      <rPr>
        <b/>
        <sz val="11"/>
        <color rgb="FF444444"/>
        <rFont val="Open Sans"/>
        <family val="2"/>
      </rPr>
      <t>14.3</t>
    </r>
    <r>
      <rPr>
        <sz val="11"/>
        <color rgb="FF444444"/>
        <rFont val="Open Sans"/>
        <family val="2"/>
      </rPr>
      <t>. ¿Se mantiene actualizada la matriz IPER incluyendo la identificación de los peligros, evaluación de los riesgos y medidas de control asociados a la exposición de ruido ocupacional?</t>
    </r>
  </si>
  <si>
    <r>
      <rPr>
        <b/>
        <sz val="11"/>
        <color rgb="FF444444"/>
        <rFont val="Open Sans"/>
        <family val="2"/>
      </rPr>
      <t>14.4.</t>
    </r>
    <r>
      <rPr>
        <sz val="11"/>
        <color rgb="FF444444"/>
        <rFont val="Open Sans"/>
        <family val="2"/>
      </rPr>
      <t> ¿La obra cuenta con acta registro de recepción de difusión del PREXOR, en Seremi de Salud e Inspección del Trabajo, según corresponda?</t>
    </r>
  </si>
  <si>
    <r>
      <rPr>
        <b/>
        <sz val="11"/>
        <color rgb="FF444444"/>
        <rFont val="Open Sans"/>
        <family val="2"/>
      </rPr>
      <t>14.5.</t>
    </r>
    <r>
      <rPr>
        <sz val="11"/>
        <color rgb="FF444444"/>
        <rFont val="Open Sans"/>
        <family val="2"/>
      </rPr>
      <t xml:space="preserve"> Se cuenta con Evaluación Cualitativa (mes 1) y Cuantitativa (mes 4) por Mutual de Seguridad para evaluar la presencia del agente Ruido.</t>
    </r>
  </si>
  <si>
    <r>
      <rPr>
        <b/>
        <sz val="11"/>
        <color rgb="FF444444"/>
        <rFont val="Open Sans"/>
        <family val="2"/>
      </rPr>
      <t>14.6. </t>
    </r>
    <r>
      <rPr>
        <sz val="11"/>
        <color rgb="FF444444"/>
        <rFont val="Open Sans"/>
        <family val="2"/>
      </rPr>
      <t>Se cuenta con registro de difusión del programa de protección auditiva a trabajadores, integrantes del comité paritario (titulares y suplentes), dirigentes sindicales y empleadores. Registro firmado de capacitación.</t>
    </r>
  </si>
  <si>
    <r>
      <rPr>
        <b/>
        <sz val="11"/>
        <color rgb="FF444444"/>
        <rFont val="Open Sans"/>
        <family val="2"/>
      </rPr>
      <t>14.7.</t>
    </r>
    <r>
      <rPr>
        <sz val="11"/>
        <color rgb="FF444444"/>
        <rFont val="Open Sans"/>
        <family val="2"/>
      </rPr>
      <t> ¿Se realizó la difusión del Protocolo sobre normas mínimas para el desarrollo de Programas de Vigilancia de la Pérdida Auditiva por exposición a Ruido en los lugares de trabajo?</t>
    </r>
  </si>
  <si>
    <r>
      <rPr>
        <b/>
        <sz val="11"/>
        <color rgb="FF444444"/>
        <rFont val="Open Sans"/>
        <family val="2"/>
      </rPr>
      <t>14.8. </t>
    </r>
    <r>
      <rPr>
        <sz val="11"/>
        <color rgb="FF444444"/>
        <rFont val="Open Sans"/>
        <family val="2"/>
      </rPr>
      <t>Se cuenta con registro de difusión de los procedimientos de trabajo seguro por cada GES de todos los trabajadores involucrados (antes y después de la Cuantitativa) debe aparecer el riesgo de ruido. Registro de difusión con firmas.</t>
    </r>
  </si>
  <si>
    <r>
      <rPr>
        <b/>
        <sz val="11"/>
        <color rgb="FF444444"/>
        <rFont val="Open Sans"/>
        <family val="2"/>
      </rPr>
      <t>14.9.</t>
    </r>
    <r>
      <rPr>
        <sz val="11"/>
        <color rgb="FF444444"/>
        <rFont val="Open Sans"/>
        <family val="2"/>
      </rPr>
      <t> ¿Se cuenta con registro de entrega y recambio de elementos de protección auditiva a todos los trabajadores expuestos a ruido laboral? Y si están capacitados en su correcto uso, almacenamiento, mantención y pruebas de ajuste.</t>
    </r>
  </si>
  <si>
    <r>
      <rPr>
        <b/>
        <sz val="11"/>
        <color rgb="FF444444"/>
        <rFont val="Open Sans"/>
        <family val="2"/>
      </rPr>
      <t>14.10.</t>
    </r>
    <r>
      <rPr>
        <sz val="11"/>
        <color rgb="FF444444"/>
        <rFont val="Open Sans"/>
        <family val="2"/>
      </rPr>
      <t> Se cuenta con registro de difusión del Informe de Ruido Laboral a los trabajadores, integrantes del comité paritario (titulares y suplentes), dirigentes sindicales y empleadores.</t>
    </r>
  </si>
  <si>
    <r>
      <rPr>
        <b/>
        <sz val="11"/>
        <color rgb="FF444444"/>
        <rFont val="Open Sans"/>
        <family val="2"/>
      </rPr>
      <t>14.11.</t>
    </r>
    <r>
      <rPr>
        <sz val="11"/>
        <color rgb="FF444444"/>
        <rFont val="Open Sans"/>
        <family val="2"/>
      </rPr>
      <t> ¿Existe un Programa de Mantención Preventivo a los sistemas de control de ruido, herramientas, equipos, maquinarias?</t>
    </r>
  </si>
  <si>
    <r>
      <rPr>
        <b/>
        <sz val="11"/>
        <color rgb="FF444444"/>
        <rFont val="Open Sans"/>
        <family val="2"/>
      </rPr>
      <t>14.12.</t>
    </r>
    <r>
      <rPr>
        <sz val="11"/>
        <color rgb="FF444444"/>
        <rFont val="Open Sans"/>
        <family val="2"/>
      </rPr>
      <t> ¿La obra adopta las medidas que le prescribe la Mutual de Seguridad y envía informe de respaldo con el levantamiento de las medidas adoptadas?</t>
    </r>
  </si>
  <si>
    <r>
      <rPr>
        <b/>
        <sz val="11"/>
        <color rgb="FF444444"/>
        <rFont val="Open Sans"/>
        <family val="2"/>
      </rPr>
      <t>14.13.</t>
    </r>
    <r>
      <rPr>
        <sz val="11"/>
        <color rgb="FF444444"/>
        <rFont val="Open Sans"/>
        <family val="2"/>
      </rPr>
      <t> Se cuenta con elaboración e implementación del SGSST-PI-08-08 Programa de Protección Auditiva, de acuerdo a la Guía para la selección y control de protectores auditivos del ISP. </t>
    </r>
  </si>
  <si>
    <r>
      <rPr>
        <b/>
        <sz val="11"/>
        <color rgb="FF444444"/>
        <rFont val="Open Sans"/>
        <family val="2"/>
      </rPr>
      <t>14.14</t>
    </r>
    <r>
      <rPr>
        <sz val="11"/>
        <color rgb="FF444444"/>
        <rFont val="Open Sans"/>
        <family val="2"/>
      </rPr>
      <t>. ¿Existe señalización sobre los riesgos, consecuencias para la salud y medidas preventivas por exposición a ruido en los distintos frentes de trabajo?</t>
    </r>
  </si>
  <si>
    <r>
      <rPr>
        <b/>
        <sz val="11"/>
        <color rgb="FF444444"/>
        <rFont val="Open Sans"/>
        <family val="2"/>
      </rPr>
      <t>14.15. </t>
    </r>
    <r>
      <rPr>
        <sz val="11"/>
        <color rgb="FF444444"/>
        <rFont val="Open Sans"/>
        <family val="2"/>
      </rPr>
      <t xml:space="preserve">¿Los trabajadores han sido capacitados acerca de los riesgos asociados a la exposición a ruido, de las medidas preventivas y de los métodos de trabajo correctos? </t>
    </r>
  </si>
  <si>
    <r>
      <rPr>
        <b/>
        <sz val="11"/>
        <color rgb="FF444444"/>
        <rFont val="Open Sans"/>
        <family val="2"/>
      </rPr>
      <t>14.16.</t>
    </r>
    <r>
      <rPr>
        <sz val="11"/>
        <color rgb="FF444444"/>
        <rFont val="Open Sans"/>
        <family val="2"/>
      </rPr>
      <t> ¿Los EPP auditivos cumplen con los criterios de certificación definidos en el DS.594 o están registrados en el RFI elaborado por el ISP?</t>
    </r>
  </si>
  <si>
    <r>
      <rPr>
        <b/>
        <sz val="11"/>
        <color rgb="FF444444"/>
        <rFont val="Open Sans"/>
        <family val="2"/>
      </rPr>
      <t>10.1.</t>
    </r>
    <r>
      <rPr>
        <sz val="11"/>
        <color rgb="FF444444"/>
        <rFont val="Open Sans"/>
        <family val="2"/>
      </rPr>
      <t> ¿La empresa contratista o subcontratista entrega su Plan y Programa de Gestión de Seguridad y Salud en el Trabajo?</t>
    </r>
  </si>
  <si>
    <r>
      <t>10.2. </t>
    </r>
    <r>
      <rPr>
        <sz val="11"/>
        <color rgb="FF444444"/>
        <rFont val="Open Sans"/>
        <family val="2"/>
      </rPr>
      <t>¿La empresa contratista o subcontratista, ha presentado Matriz IPER (actualizada para el proyecto), Procedimientos de Trabajo Seguro o Instructivos Específicos para el desarrollo de los trabajos en obra?</t>
    </r>
  </si>
  <si>
    <r>
      <t>14.3. </t>
    </r>
    <r>
      <rPr>
        <sz val="11"/>
        <color rgb="FF444444"/>
        <rFont val="Open Sans"/>
        <family val="2"/>
      </rPr>
      <t>¿La empresa contratista o subcontratista, ha remitido Copia de su Reglamento Interno Vigente, Matriz IPER, Procedimientos de Trabajo Seguro e Instructivos Esecí­ficos para el desarrollo de los trabajos en obra?</t>
    </r>
  </si>
  <si>
    <r>
      <t>10.3. </t>
    </r>
    <r>
      <rPr>
        <sz val="11"/>
        <color rgb="FF444444"/>
        <rFont val="Open Sans"/>
        <family val="2"/>
      </rPr>
      <t>¿Se solicita Certificado de Adhesión a un organismo administrador de la Ley 16.744?</t>
    </r>
  </si>
  <si>
    <r>
      <t>14.5. </t>
    </r>
    <r>
      <rPr>
        <sz val="11"/>
        <color rgb="FF444444"/>
        <rFont val="Open Sans"/>
        <family val="2"/>
      </rPr>
      <t>¿Se solicita Certificado de Adhesión a un organismo administrador de la Ley 16.744?</t>
    </r>
  </si>
  <si>
    <r>
      <t>10.4. </t>
    </r>
    <r>
      <rPr>
        <sz val="11"/>
        <color rgb="FF444444"/>
        <rFont val="Open Sans"/>
        <family val="2"/>
      </rPr>
      <t>¿La empresa contratista y/o subcontratista, ha remitido las cartas de entrega de Reglamento Interno (actualizado) a SEREMI de Salud y DT?</t>
    </r>
  </si>
  <si>
    <r>
      <t>14.6. </t>
    </r>
    <r>
      <rPr>
        <sz val="11"/>
        <color rgb="FF444444"/>
        <rFont val="Open Sans"/>
        <family val="2"/>
      </rPr>
      <t>¿La empresa contratista y/o subcontratista, ha remitido copia de las cartas de entrega de Reglamento Interno vigente a los organismos competentes?</t>
    </r>
  </si>
  <si>
    <r>
      <t>10.5. </t>
    </r>
    <r>
      <rPr>
        <sz val="11"/>
        <color rgb="FF444444"/>
        <rFont val="Open Sans"/>
        <family val="2"/>
      </rPr>
      <t>¿La empresa contratista o subcontratista, ha remitido toda la documentación de SST por cada uno de sus trabajadores? (Inducción, ODI, examenes preocupacionales u ocupacionales, Entrega de RIOHS, Entrega de EPP, Capacitación en PTS, Capacitación Matriz IPER, Capacitación Uso y Manejo de Extintores, u otros específicos del cargo, todos con test de evaluación (medición de eficacia)?</t>
    </r>
  </si>
  <si>
    <r>
      <t>14.7. </t>
    </r>
    <r>
      <rPr>
        <sz val="11"/>
        <color rgb="FF444444"/>
        <rFont val="Open Sans"/>
        <family val="2"/>
      </rPr>
      <t>¿La empresa contratista o subcontratista, ha remitido toda la documentación de SSO por cada uno de sus trabajadores? (Inducción, ODI, Entrega de RIOHS, Entrega de EPP, Capacitación en PTS, Capacitación Matriz IPER, Capacitación Uso y Manejo de Extintores, u otros especificos del cargo?</t>
    </r>
  </si>
  <si>
    <r>
      <rPr>
        <b/>
        <sz val="11"/>
        <color rgb="FF444444"/>
        <rFont val="Open Sans"/>
        <family val="2"/>
      </rPr>
      <t>10.6.</t>
    </r>
    <r>
      <rPr>
        <sz val="11"/>
        <color rgb="FF444444"/>
        <rFont val="Open Sans"/>
        <family val="2"/>
      </rPr>
      <t> ¿Se ha entregado copia del Reglamento Especial para empresas Contratistas y Subcontratistas, dejando registro de ello? (SGSST-PG-02-R-05)</t>
    </r>
  </si>
  <si>
    <r>
      <rPr>
        <b/>
        <sz val="11"/>
        <color rgb="FF444444"/>
        <rFont val="Open Sans"/>
        <family val="2"/>
      </rPr>
      <t>10.7.</t>
    </r>
    <r>
      <rPr>
        <sz val="11"/>
        <color rgb="FF444444"/>
        <rFont val="Open Sans"/>
        <family val="2"/>
      </rPr>
      <t xml:space="preserve"> ¿Certificado de calidad de los Elementos de Protección Personal que utilizan en faena?</t>
    </r>
  </si>
  <si>
    <r>
      <t>10.8. </t>
    </r>
    <r>
      <rPr>
        <sz val="11"/>
        <color rgb="FF444444"/>
        <rFont val="Open Sans"/>
        <family val="2"/>
      </rPr>
      <t>Cuando existen más de 50 trabajadores en obra, sin importar su dependencia ¿Se solicita Programa de Prevención de Riesgos, aprobado por su representante legal, a Empresas Contratista y Subcontratista?</t>
    </r>
  </si>
  <si>
    <r>
      <t>14.14. </t>
    </r>
    <r>
      <rPr>
        <sz val="11"/>
        <color rgb="FF444444"/>
        <rFont val="Open Sans"/>
        <family val="2"/>
      </rPr>
      <t>Cuando existen mí¡s de 50 trabajadores en obra, sin importar su dependencia ¿Se solicita Programa de Prevención de Riesgos, aprobado por su representante legal, a Empresas Contratista ySubcontratista?</t>
    </r>
  </si>
  <si>
    <r>
      <t>11.1. ¿</t>
    </r>
    <r>
      <rPr>
        <sz val="11"/>
        <color rgb="FF444444"/>
        <rFont val="Open Sans"/>
        <family val="2"/>
      </rPr>
      <t>Existe Programa de Formación y Desarrollo? ¿Ha sido aprobado por el Administrador de Obra?</t>
    </r>
  </si>
  <si>
    <r>
      <t>11.2. </t>
    </r>
    <r>
      <rPr>
        <sz val="11"/>
        <color rgb="FF444444"/>
        <rFont val="Open Sans"/>
        <family val="2"/>
      </rPr>
      <t>¿El Programa considera actividades desarrolladas por Mutual de Seguridad C.Ch.C, dirijido a la línea de mando, profesionales, comité paritario y trabajadores?</t>
    </r>
  </si>
  <si>
    <r>
      <t>16.2. </t>
    </r>
    <r>
      <rPr>
        <sz val="11"/>
        <color rgb="FF444444"/>
        <rFont val="Open Sans"/>
        <family val="2"/>
      </rPr>
      <t>¿El Programa considera actividades desarrolladas por Mutual de Seguridad C.Ch.C.?</t>
    </r>
  </si>
  <si>
    <r>
      <rPr>
        <b/>
        <sz val="11"/>
        <color rgb="FF444444"/>
        <rFont val="Open Sans"/>
        <family val="2"/>
      </rPr>
      <t xml:space="preserve">11.3. </t>
    </r>
    <r>
      <rPr>
        <sz val="11"/>
        <color rgb="FF444444"/>
        <rFont val="Open Sans"/>
        <family val="2"/>
      </rPr>
      <t>¿Los encargados de realizar y validar los Analisis de Riesgos del Trabajo (ART), cuenta con capacitación aprobada, en cuanto a la aplicación de dicha herramienta?</t>
    </r>
  </si>
  <si>
    <r>
      <rPr>
        <b/>
        <sz val="11"/>
        <color rgb="FF444444"/>
        <rFont val="Open Sans"/>
        <family val="2"/>
      </rPr>
      <t xml:space="preserve">11.4 </t>
    </r>
    <r>
      <rPr>
        <sz val="11"/>
        <color rgb="FF444444"/>
        <rFont val="Open Sans"/>
        <family val="2"/>
      </rPr>
      <t>¿El Programa de Formación y Desarrollo incluye capacitaciones específicas, sobre plan de emergencia, extintores, uso, mantención y almacenamiento de EPP, Matriz de Riesgos, protocolos MINSAL y Guías Técnicas del ISP, etc?</t>
    </r>
  </si>
  <si>
    <r>
      <t>11.5. </t>
    </r>
    <r>
      <rPr>
        <sz val="11"/>
        <color rgb="FF444444"/>
        <rFont val="Open Sans"/>
        <family val="2"/>
      </rPr>
      <t>¿Se actualiza el programa al desarrollar las actividades de capacitación en obra?</t>
    </r>
  </si>
  <si>
    <r>
      <t>16.5. </t>
    </r>
    <r>
      <rPr>
        <sz val="11"/>
        <color rgb="FF444444"/>
        <rFont val="Open Sans"/>
        <family val="2"/>
      </rPr>
      <t>¿Se actualiza el programa al desarrollar las actividades de capacitación en obra?</t>
    </r>
  </si>
  <si>
    <r>
      <t>11.6. </t>
    </r>
    <r>
      <rPr>
        <sz val="11"/>
        <color rgb="FF444444"/>
        <rFont val="Open Sans"/>
        <family val="2"/>
      </rPr>
      <t>¿Se reprograman las capacitaciones que no se realizan durante el mes? ¿Actualizando el Programa?</t>
    </r>
  </si>
  <si>
    <r>
      <t>16.6. </t>
    </r>
    <r>
      <rPr>
        <sz val="11"/>
        <color rgb="FF444444"/>
        <rFont val="Open Sans"/>
        <family val="2"/>
      </rPr>
      <t>¿Se encuentran capacitados todos los trabajadores en las distintas actividades programadas?</t>
    </r>
  </si>
  <si>
    <r>
      <rPr>
        <b/>
        <sz val="11"/>
        <color rgb="FF444444"/>
        <rFont val="Open Sans"/>
        <family val="2"/>
      </rPr>
      <t>11.7.</t>
    </r>
    <r>
      <rPr>
        <sz val="11"/>
        <color rgb="FF444444"/>
        <rFont val="Open Sans"/>
        <family val="2"/>
      </rPr>
      <t xml:space="preserve"> ¿Todas las capacitaciones tienen medición de eficacia; test de evaluación del aprendizaje? (considerar distintos idiomas en caso de inmigrantes).</t>
    </r>
  </si>
  <si>
    <r>
      <t>11.8. </t>
    </r>
    <r>
      <rPr>
        <sz val="11"/>
        <color rgb="FF444444"/>
        <rFont val="Open Sans"/>
        <family val="2"/>
      </rPr>
      <t>¿El Programa considera actividades desarrolladas por el Experto de la Obra y Proveedores?</t>
    </r>
  </si>
  <si>
    <r>
      <t>16.7. </t>
    </r>
    <r>
      <rPr>
        <sz val="11"/>
        <color rgb="FF444444"/>
        <rFont val="Open Sans"/>
        <family val="2"/>
      </rPr>
      <t>¿El Programa considera actividades desarrolladas por el Experto de la Obra?</t>
    </r>
  </si>
  <si>
    <r>
      <t>13.2. </t>
    </r>
    <r>
      <rPr>
        <sz val="11"/>
        <color theme="1"/>
        <rFont val="Open Sans"/>
        <family val="2"/>
      </rPr>
      <t>El Comité Paritario ¿cuenta con un programa de trabajo para el año en curso? (SGSSO-PG-03-R-02)</t>
    </r>
  </si>
  <si>
    <r>
      <t>13.3. </t>
    </r>
    <r>
      <rPr>
        <sz val="11"/>
        <color theme="1"/>
        <rFont val="Open Sans"/>
        <family val="2"/>
      </rPr>
      <t>Se realiza seguimiento a las recomendaciones y puntos acordados en las reuniones de CPHS? (SGSSO-PG-03-R-01)</t>
    </r>
  </si>
  <si>
    <r>
      <t>13.4. </t>
    </r>
    <r>
      <rPr>
        <sz val="11"/>
        <color theme="1"/>
        <rFont val="Open Sans"/>
        <family val="2"/>
      </rPr>
      <t>El Comité Paritario ¿realiza reuniones mensuales y se deja registro de la misma en las respectivas actas? (SGSSO-PG-03-R-01)</t>
    </r>
  </si>
  <si>
    <r>
      <t xml:space="preserve">9.5 </t>
    </r>
    <r>
      <rPr>
        <sz val="11"/>
        <color theme="1"/>
        <rFont val="Open Sans"/>
        <family val="2"/>
      </rPr>
      <t>¿Se designa entre sus integrantes un presidente y secretario dejándolo estipulado en un acta?</t>
    </r>
  </si>
  <si>
    <r>
      <t>9.6. </t>
    </r>
    <r>
      <rPr>
        <sz val="11"/>
        <color theme="1"/>
        <rFont val="Open Sans"/>
        <family val="2"/>
      </rPr>
      <t>¿Se ha remitido Copia del Acta de Constitución a la Dirección del Trabajo, SEREMI de Salud y Mutual de Seguridad CCHC? (Anexo Carta de Comunicación Constitución Comité Paritario)</t>
    </r>
  </si>
  <si>
    <r>
      <t>13.5. </t>
    </r>
    <r>
      <rPr>
        <sz val="11"/>
        <color theme="1"/>
        <rFont val="Open Sans"/>
        <family val="2"/>
      </rPr>
      <t>¿Se ha remitido Copia del Acta de Constitución a la Dirección del Trabajo, SEREMI de Salud y Mutual de Seguridad CCHC? (Anexo Carta de Comunicación Constitución Comité Paritario)</t>
    </r>
  </si>
  <si>
    <r>
      <t>9.7. </t>
    </r>
    <r>
      <rPr>
        <sz val="11"/>
        <color theme="1"/>
        <rFont val="Open Sans"/>
        <family val="2"/>
      </rPr>
      <t>¿El comité paritario se encuentra certificado en una categoría (bronce-plata-oro) Cuando tiene 6 meses de funcionamiento?</t>
    </r>
  </si>
  <si>
    <r>
      <t>13.6. </t>
    </r>
    <r>
      <rPr>
        <sz val="11"/>
        <color theme="1"/>
        <rFont val="Open Sans"/>
        <family val="2"/>
      </rPr>
      <t>¿Todos los miembros del CPHS cuentan con curso de Orientación en Prevención de Riesgos dictado por Mutual, aprobado?</t>
    </r>
  </si>
  <si>
    <r>
      <t>9.8. </t>
    </r>
    <r>
      <rPr>
        <sz val="11"/>
        <color theme="1"/>
        <rFont val="Open Sans"/>
        <family val="2"/>
      </rPr>
      <t>¿El Comité investiga las causas de los todos los accidentes CTP e incidentes de alto potencial, determinando medidas de control?</t>
    </r>
  </si>
  <si>
    <r>
      <t xml:space="preserve">9.9. </t>
    </r>
    <r>
      <rPr>
        <sz val="11"/>
        <color theme="1"/>
        <rFont val="Open Sans"/>
        <family val="2"/>
      </rPr>
      <t>¿Se analizan en la reunión mensual los accidentes, enfermedades profesionales y los reportes GHIF ocurridos en el mes anterior ?</t>
    </r>
  </si>
  <si>
    <r>
      <t xml:space="preserve">9.10. </t>
    </r>
    <r>
      <rPr>
        <sz val="11"/>
        <color theme="1"/>
        <rFont val="Open Sans"/>
        <family val="2"/>
      </rPr>
      <t>¿Se realiza seguimiento a la eficacia de las medidas de control indicada en las investigación de  accidentes y enfermedades profesionales?</t>
    </r>
  </si>
  <si>
    <r>
      <t xml:space="preserve">9.11. </t>
    </r>
    <r>
      <rPr>
        <sz val="11"/>
        <color theme="1"/>
        <rFont val="Open Sans"/>
        <family val="2"/>
      </rPr>
      <t>¿Se promueve la realización de cursos de adiestramiento destinado a la capacitación de los trabajadores?</t>
    </r>
  </si>
  <si>
    <r>
      <rPr>
        <b/>
        <sz val="11"/>
        <color theme="1"/>
        <rFont val="Open Sans"/>
        <family val="2"/>
      </rPr>
      <t xml:space="preserve">9.12. </t>
    </r>
    <r>
      <rPr>
        <sz val="11"/>
        <color theme="1"/>
        <rFont val="Open Sans"/>
        <family val="2"/>
      </rPr>
      <t xml:space="preserve">¿El comité asesora e instruye a los trabajadores en el uso y mantención de EPP, medidas de control a tareas críticas, medidas de control de agentes físicos, químicos y biológicos? </t>
    </r>
  </si>
  <si>
    <r>
      <rPr>
        <b/>
        <sz val="11"/>
        <color theme="1"/>
        <rFont val="Open Sans"/>
        <family val="2"/>
      </rPr>
      <t>9.13.</t>
    </r>
    <r>
      <rPr>
        <sz val="11"/>
        <color theme="1"/>
        <rFont val="Open Sans"/>
        <family val="2"/>
      </rPr>
      <t xml:space="preserve"> ¿Participa el presidente o un representante de los trabajadores en el comité de ejecutivo de obra de forma mensual?</t>
    </r>
  </si>
  <si>
    <r>
      <rPr>
        <b/>
        <sz val="11"/>
        <color theme="1"/>
        <rFont val="Open Sans"/>
        <family val="2"/>
      </rPr>
      <t>9.14.</t>
    </r>
    <r>
      <rPr>
        <sz val="11"/>
        <color theme="1"/>
        <rFont val="Open Sans"/>
        <family val="2"/>
      </rPr>
      <t xml:space="preserve"> ¿Participa un representante de los trabajadores en el comité de aplicación del protocolo de riesgos psicosocial?</t>
    </r>
  </si>
  <si>
    <r>
      <rPr>
        <b/>
        <sz val="11"/>
        <color theme="1"/>
        <rFont val="Open Sans"/>
        <family val="2"/>
      </rPr>
      <t>9.15.</t>
    </r>
    <r>
      <rPr>
        <sz val="11"/>
        <color theme="1"/>
        <rFont val="Open Sans"/>
        <family val="2"/>
      </rPr>
      <t xml:space="preserve"> ¿El Comité Paritario incorpora en su Cronograma de trabajo actividades relacionadas con la prevención de la Hipoacusia, TMERT EESS, Riesgos Psicosociales y PLANESI?</t>
    </r>
  </si>
  <si>
    <r>
      <t>9.16. </t>
    </r>
    <r>
      <rPr>
        <sz val="11"/>
        <color theme="1"/>
        <rFont val="Open Sans"/>
        <family val="2"/>
      </rPr>
      <t>¿Todos los miembros del CPHS cuentan con curso de Orientación en Prevención de Riesgos (mínimo 4 horas)  dictado por Mutual, aprobado?</t>
    </r>
  </si>
  <si>
    <r>
      <t>7.1. </t>
    </r>
    <r>
      <rPr>
        <sz val="11"/>
        <color rgb="FF444444"/>
        <rFont val="Open Sans"/>
        <family val="2"/>
      </rPr>
      <t>¿ Los operadores realizan diariamente Check List de sus Equipos Pesados a cargo antes de su utilización?</t>
    </r>
  </si>
  <si>
    <r>
      <t xml:space="preserve">7.2 </t>
    </r>
    <r>
      <rPr>
        <sz val="11"/>
        <color rgb="FF444444"/>
        <rFont val="Open Sans"/>
        <family val="2"/>
      </rPr>
      <t>¿Los vehículos y maquinarias tienen un programa de mantención preventivo?</t>
    </r>
    <r>
      <rPr>
        <b/>
        <sz val="11"/>
        <color rgb="FF444444"/>
        <rFont val="Open Sans"/>
        <family val="2"/>
      </rPr>
      <t xml:space="preserve"> </t>
    </r>
    <r>
      <rPr>
        <sz val="11"/>
        <color rgb="FF444444"/>
        <rFont val="Open Sans"/>
        <family val="2"/>
      </rPr>
      <t xml:space="preserve">Mantener todos los respaldos archivados. </t>
    </r>
  </si>
  <si>
    <r>
      <t>7.3. </t>
    </r>
    <r>
      <rPr>
        <sz val="11"/>
        <color rgb="FF444444"/>
        <rFont val="Open Sans"/>
        <family val="2"/>
      </rPr>
      <t>Todos los Vehículos Livianos cumplen con los requisitos definidos: Permiso de circulación al día, Revisión técnica al día, Seguro obligatorio al día, Registro de mantención vigente, Cinturón de Seguridad, Botiquín de Primeros Auxilios, Extintor de incendios vigente, todas las luces del vehículo operativas, bocina operativa, triángulos, chaleco reflectante, gata hidráulica, rueda de repuesto, Bitácora, kit de herramientas, cintas reflectoras y logos definidos en el Manual de Marca Regional.</t>
    </r>
  </si>
  <si>
    <r>
      <t>8.2. </t>
    </r>
    <r>
      <rPr>
        <sz val="11"/>
        <color rgb="FF444444"/>
        <rFont val="Open Sans"/>
        <family val="2"/>
      </rPr>
      <t>Todos los Vehículos Livianos cumplen con los requisitos definidos por Flesan, a saber: Permiso de circulación al dí­a, Revisión técnica al dí­a, Seguro obligatorio al dí­a, Registro de mantención vigente, Cinturón de Seguridad, Botiquín de Primeros Auxilios, Extintor de incendios vigente, todas las luces del vehículo operativas, bocina operativa, triángulos, chaleco reflectante, gata hidráulica, rueda de repuesto, Bitácora, kit de herramientas, cintas reflectoras y logos definidos en el Manual de Marca Regional.</t>
    </r>
  </si>
  <si>
    <r>
      <t>7.4. </t>
    </r>
    <r>
      <rPr>
        <sz val="11"/>
        <color rgb="FF444444"/>
        <rFont val="Open Sans"/>
        <family val="2"/>
      </rPr>
      <t>Los vehículos utilizados para el traslado de combustibles líquidos corresponden a: camionetas 3/4 o camiones cuyo peso bruto vehicular es igual o superior a 3.500 Kg (con dos ejes) y cumplen con todos los requisitos mencionados  en el punto 7.6 sobre Vehículos Pesados, así­ como también, cuentan con la autorización de la SEC para el transporte menor de combustibles lí­quidos y son utilizados sólo para estos efectos (no para trasladar personas).</t>
    </r>
  </si>
  <si>
    <r>
      <t>8.3. </t>
    </r>
    <r>
      <rPr>
        <sz val="11"/>
        <color rgb="FF444444"/>
        <rFont val="Open Sans"/>
        <family val="2"/>
      </rPr>
      <t>Los vehiculos utilizados para el traslado de combustibles lí­quidos corresponden a: camionetas 3/4 o camiones cuyo peso bruto vehicular es igual o superior a 3.500 Kg (con dos ejes) y cumplen con todos los requisitos mencionados anteriormente el punto 8.4 sobre Vehiculos Pesados, así­ como también, cuentan con la autorización de la SEC para el transporte menor de combustibles lí­quidos y son utilizados sólo para estos efectos (no para trasladar personas).</t>
    </r>
  </si>
  <si>
    <r>
      <t>7.5. </t>
    </r>
    <r>
      <rPr>
        <sz val="11"/>
        <color rgb="FF444444"/>
        <rFont val="Open Sans"/>
        <family val="2"/>
      </rPr>
      <t>Todas la Maquinaria y Equipos Pesada cumplen con los requisitos definidos: Permiso de circulación (cuando aplique), Revisión técnica, Seguro obligatorio, Mantención vigente, Protección de las partes móviles, alarma de retroceso, baliza luminosa, cinturón de seguridad de tres puntas, botiquín de primeros auxilios, cabinas aisladas de las condiciones exteriores y con aire acondicionado/calefacción, extintor de incendios, todas las luces del equipo operativas, todos los neumáticos en perfecto estado, bocina, triángulos, kit de herramientas, vidrios transparentes, cintas reflectantes y logos definidos en el Manual de Marca Regional (si aplica).</t>
    </r>
  </si>
  <si>
    <r>
      <t>8.4. </t>
    </r>
    <r>
      <rPr>
        <sz val="11"/>
        <color rgb="FF444444"/>
        <rFont val="Open Sans"/>
        <family val="2"/>
      </rPr>
      <t>Todas la Maquinaria Pesada cumplen con los requisitos definidos por Flesan, a saber: Permiso de circulación (cuando aplique), Revisión técnica, Seguro obligatorio, Mantención vigente, Protección de las partes móviles, alarma de retroceso, baliza luminosa, cinturón de seguridad de tres puntas, botiquín de primeros auxilios, cabinas aisladas de las condiciones exteriores y con aire acondicionado/calefacción, extintor de incendios vigente, todas las luces del equipo operativas, todos los neumáticos en perfecto estado, bocina operativa, triángulos, kit de herramientas, cintas reflectantes y logos definidos en el Manual de Marca Regional (si aplica), vidrios transparentes.</t>
    </r>
  </si>
  <si>
    <r>
      <t>7.6. </t>
    </r>
    <r>
      <rPr>
        <sz val="11"/>
        <color rgb="FF444444"/>
        <rFont val="Open Sans"/>
        <family val="2"/>
      </rPr>
      <t>Los Operadores de Maquinaria Pesada cuentan con: Examen psicosensotecnico aprobado, Licencia de conducir vigente de acuerdo al tipo de Equipo a operar, cursos de conducción a la defensiva y/o conducción en condiciones climáticas adversas aprobado, Contrato de trabajo/Anexo de modificación de funciones (donde se incluyan las labores de operador de equipos pesados) Inducción respectiva.</t>
    </r>
  </si>
  <si>
    <r>
      <t>8.5. </t>
    </r>
    <r>
      <rPr>
        <sz val="11"/>
        <color rgb="FF444444"/>
        <rFont val="Open Sans"/>
        <family val="2"/>
      </rPr>
      <t>Los Operadores de Maquinaria Pesada cuentan con: Examen psicosensotecnico aprobado, Licencia de conducir vigente de acuerdo al tipo de Equipo a operar, cursos de conducción a la defensiva y/o conducción en condiciones climáticas adversas aprobado, Contrato de trabajo/Anexo de modificación de funciones (donde se incluyan las labores de operador de equipos pesados) Inducción respectiva.</t>
    </r>
  </si>
  <si>
    <r>
      <t>7.7. </t>
    </r>
    <r>
      <rPr>
        <sz val="11"/>
        <color rgb="FF444444"/>
        <rFont val="Open Sans"/>
        <family val="2"/>
      </rPr>
      <t>Los Conductores de Vehículos cuentan con: Examen psicosensotecnico aprobado, Licencia de conducir vigente de acuerdo al tipo de vehículo, cursos de conducción a la defensiva y/o conducción en condiciones climáticas adversas aprobado, Anexo de modificación de funciones (donde se incluyan las labores de conductor) e inducción (ODI) especifica.</t>
    </r>
  </si>
  <si>
    <r>
      <t>8.6. </t>
    </r>
    <r>
      <rPr>
        <sz val="11"/>
        <color rgb="FF444444"/>
        <rFont val="Open Sans"/>
        <family val="2"/>
      </rPr>
      <t>Los Conductores de Vehículos cuentan con: Examen psicosensotecnico aprobado, Licencia de conducir vigente de acuerdo al tipo de vehículo, cursos de conducción a la defensiva y/o conducción en condiciones climáticas adversas aprobado, Anexo de modificación de funciones (donde se incluyan las labores de conductor) e inducción (ODI) especifica.</t>
    </r>
  </si>
  <si>
    <r>
      <t>7.8. </t>
    </r>
    <r>
      <rPr>
        <sz val="11"/>
        <color rgb="FF444444"/>
        <rFont val="Open Sans"/>
        <family val="2"/>
      </rPr>
      <t>¿Se evidencia registro de recepción conforme del vehículo, equipo o maquinaria Pesada, realizado por el Experto SST y el encargado de Maquinarias (si no existe el Administrador de Contrato debe definir responsable)? (Chequeo inicial, al llegar a obra)</t>
    </r>
  </si>
  <si>
    <r>
      <t>8.9. </t>
    </r>
    <r>
      <rPr>
        <sz val="11"/>
        <color rgb="FF444444"/>
        <rFont val="Open Sans"/>
        <family val="2"/>
      </rPr>
      <t>¿Se evidencia registro de recepción conforme del vehículo o maquinaria Pesada, realizado por el Experto SSO? (Chequeo inicial, al llegar a obra)</t>
    </r>
  </si>
  <si>
    <r>
      <t>6.1 </t>
    </r>
    <r>
      <rPr>
        <sz val="11"/>
        <color rgb="FF444444"/>
        <rFont val="Open Sans"/>
        <family val="2"/>
      </rPr>
      <t>¿La instalación de faena cuenta con un Plano de Extintores y en cantidad suficiente según el DS 594?</t>
    </r>
  </si>
  <si>
    <r>
      <t>6.2. </t>
    </r>
    <r>
      <rPr>
        <sz val="11"/>
        <color rgb="FF444444"/>
        <rFont val="Open Sans"/>
        <family val="2"/>
      </rPr>
      <t>¿Cuenta con la cantidad de servicios higiénicos independientes, separados por sexo, en buen estado de limpieza y funcionamiento? De acuerdo al DS N°594</t>
    </r>
    <r>
      <rPr>
        <b/>
        <sz val="11"/>
        <color rgb="FF444444"/>
        <rFont val="Open Sans"/>
        <family val="2"/>
      </rPr>
      <t xml:space="preserve"> </t>
    </r>
    <r>
      <rPr>
        <sz val="11"/>
        <color rgb="FF444444"/>
        <rFont val="Open Sans"/>
        <family val="2"/>
      </rPr>
      <t>(articulo 23)</t>
    </r>
  </si>
  <si>
    <r>
      <t>7.3. </t>
    </r>
    <r>
      <rPr>
        <sz val="11"/>
        <color rgb="FF444444"/>
        <rFont val="Open Sans"/>
        <family val="2"/>
      </rPr>
      <t>¿Cuenta con servicios higiénicos independientes y separados por sexo?</t>
    </r>
  </si>
  <si>
    <r>
      <t>6.3. </t>
    </r>
    <r>
      <rPr>
        <sz val="11"/>
        <color rgb="FF444444"/>
        <rFont val="Open Sans"/>
        <family val="2"/>
      </rPr>
      <t>¿El comedor cumple con las condiciones mínimas establecidas por la autoridad sanitaria: Mesas y Sillas con cubierta de material lavable y piso solido de fácil limpieza. Agua potable, lavaplatos, medio de refrigeración, cocinilla y energía eléctrica?</t>
    </r>
  </si>
  <si>
    <r>
      <t>7.4. </t>
    </r>
    <r>
      <rPr>
        <sz val="11"/>
        <color rgb="FF444444"/>
        <rFont val="Open Sans"/>
        <family val="2"/>
      </rPr>
      <t>¿EL comedor cumple con las condiciones mí­nimas establecidas por la autoridad sanitaria: Mesas y Sillas con cubierta de material lavable y piso solido de facil limpieza. Agua potable, lavaplatos, medio de refigeración, cocinilla y energí­a eléctrica?</t>
    </r>
  </si>
  <si>
    <r>
      <t>7.6. </t>
    </r>
    <r>
      <rPr>
        <sz val="11"/>
        <color rgb="FF444444"/>
        <rFont val="Open Sans"/>
        <family val="2"/>
      </rPr>
      <t>¿La instalación de faena cuenta con una Estación de emergencia con todas las condiciones definidas por el Sistema de Gestión? (SGSSO-PG-06-R-03)</t>
    </r>
  </si>
  <si>
    <r>
      <t>6.5. </t>
    </r>
    <r>
      <rPr>
        <sz val="11"/>
        <color rgb="FF444444"/>
        <rFont val="Open Sans"/>
        <family val="2"/>
      </rPr>
      <t>Los extintores que se ubican a la intemperie se encuentran en gabinetes que permiten su retiro expedito?</t>
    </r>
  </si>
  <si>
    <r>
      <t>7.10. </t>
    </r>
    <r>
      <rPr>
        <sz val="11"/>
        <color rgb="FF444444"/>
        <rFont val="Open Sans"/>
        <family val="2"/>
      </rPr>
      <t>Los extintores que se ubican a la intemperie se encuentran en gabinetes que permiten su retiro expedito?</t>
    </r>
  </si>
  <si>
    <r>
      <t>6.6. </t>
    </r>
    <r>
      <rPr>
        <sz val="11"/>
        <color rgb="FF444444"/>
        <rFont val="Open Sans"/>
        <family val="2"/>
      </rPr>
      <t>¿Los conductores eléctricos y enchufes se encuentran en buen estado?</t>
    </r>
  </si>
  <si>
    <r>
      <t>7.11. </t>
    </r>
    <r>
      <rPr>
        <sz val="11"/>
        <color rgb="FF444444"/>
        <rFont val="Open Sans"/>
        <family val="2"/>
      </rPr>
      <t>¿Los conductores eléctricos y enchufes se encuentran en buen estado?</t>
    </r>
  </si>
  <si>
    <r>
      <t>6.7. </t>
    </r>
    <r>
      <rPr>
        <sz val="11"/>
        <color rgb="FF444444"/>
        <rFont val="Open Sans"/>
        <family val="2"/>
      </rPr>
      <t>¿El plan de emergencia considera eventos que se pueden producir en la instalación de faena?</t>
    </r>
  </si>
  <si>
    <r>
      <t>7.12. </t>
    </r>
    <r>
      <rPr>
        <sz val="11"/>
        <color rgb="FF444444"/>
        <rFont val="Open Sans"/>
        <family val="2"/>
      </rPr>
      <t>¿El plan de emergencia considera eventos que se pueden producir en la instalación de faena?</t>
    </r>
  </si>
  <si>
    <r>
      <t>6.8. </t>
    </r>
    <r>
      <rPr>
        <sz val="11"/>
        <color rgb="FF444444"/>
        <rFont val="Open Sans"/>
        <family val="2"/>
      </rPr>
      <t>¿La Bodega de Combustibles, Gases Comprimidos, Residuos Peligrosos cuenta con extintores de incendio?</t>
    </r>
  </si>
  <si>
    <r>
      <t>7.16. </t>
    </r>
    <r>
      <rPr>
        <sz val="11"/>
        <color rgb="FF444444"/>
        <rFont val="Open Sans"/>
        <family val="2"/>
      </rPr>
      <t>¿La Bodega de Combustibles, Gases Comprimidos, Residuos Peligrosos cuenta con extintores de incendio?</t>
    </r>
  </si>
  <si>
    <r>
      <t>6.9. </t>
    </r>
    <r>
      <rPr>
        <sz val="11"/>
        <color rgb="FF444444"/>
        <rFont val="Open Sans"/>
        <family val="2"/>
      </rPr>
      <t>¿El comedor se encuentra completamente aislado de las áreas de trabajo y de cualquier fuente de contaminación ambiental?</t>
    </r>
  </si>
  <si>
    <r>
      <t>7.19. </t>
    </r>
    <r>
      <rPr>
        <sz val="11"/>
        <color rgb="FF444444"/>
        <rFont val="Open Sans"/>
        <family val="2"/>
      </rPr>
      <t>¿El comedor se encuentra completamente aislado de las áreas de trabajo y de cualquier fuente de contaminación ambiental?</t>
    </r>
  </si>
  <si>
    <r>
      <t>6.10. </t>
    </r>
    <r>
      <rPr>
        <sz val="11"/>
        <color rgb="FF444444"/>
        <rFont val="Open Sans"/>
        <family val="2"/>
      </rPr>
      <t>¿Cuenta con vías de Evacuación y Salidas de Emergencia, puntos de encuentro de emergencia, correctamente identificadas mediante señalización visible y permanente?</t>
    </r>
  </si>
  <si>
    <r>
      <t>7.20. </t>
    </r>
    <r>
      <rPr>
        <sz val="11"/>
        <color rgb="FF444444"/>
        <rFont val="Open Sans"/>
        <family val="2"/>
      </rPr>
      <t>¿Cuenta con ví­as de Evacuación y Salidas de Emergencia, correctamente identificadas mediante señalización visible y permanente?</t>
    </r>
  </si>
  <si>
    <r>
      <t>6.11. </t>
    </r>
    <r>
      <rPr>
        <sz val="11"/>
        <color rgb="FF444444"/>
        <rFont val="Open Sans"/>
        <family val="2"/>
      </rPr>
      <t>¿Las duchas están dotadas de agua fría y caliente?</t>
    </r>
  </si>
  <si>
    <r>
      <t>7.25. </t>
    </r>
    <r>
      <rPr>
        <sz val="11"/>
        <color rgb="FF444444"/>
        <rFont val="Open Sans"/>
        <family val="2"/>
      </rPr>
      <t>¿Las duchas están dotadas de agua frí­a y caliente?</t>
    </r>
  </si>
  <si>
    <r>
      <t>6.12. </t>
    </r>
    <r>
      <rPr>
        <sz val="11"/>
        <color rgb="FF444444"/>
        <rFont val="Open Sans"/>
        <family val="2"/>
      </rPr>
      <t>¿Cuenta con el numero adecuado de casilleros guardarropas? (trabajadores están expuestos a sustancias tóxicas o infecciosas, éstos deberán tener 2 casilleros individuales)</t>
    </r>
  </si>
  <si>
    <r>
      <t>7.26. </t>
    </r>
    <r>
      <rPr>
        <sz val="11"/>
        <color rgb="FF444444"/>
        <rFont val="Open Sans"/>
        <family val="2"/>
      </rPr>
      <t>¿Cuenta con el numero adecuado de casilleros guardarropas? (trabajadores están expuestos a sustancias tóxicas o infecciosas, éstos deberán tener 2 casilleros individuales)</t>
    </r>
  </si>
  <si>
    <r>
      <t>6.13. </t>
    </r>
    <r>
      <rPr>
        <sz val="11"/>
        <color rgb="FF444444"/>
        <rFont val="Open Sans"/>
        <family val="2"/>
      </rPr>
      <t>¿Los extintores se ubican en sitios de fácil acceso y clara identificación, libres de obstáculos, colocándose a una altura máxima de 1,30 metros medidos desde el suelo a la base del extintor?</t>
    </r>
  </si>
  <si>
    <r>
      <t>7.30. </t>
    </r>
    <r>
      <rPr>
        <sz val="11"/>
        <color rgb="FF444444"/>
        <rFont val="Open Sans"/>
        <family val="2"/>
      </rPr>
      <t>¿Los extintores se ubican en sitios de fácil acceso y clara identificación, libres de obstáculos, colocándose a una altura máxima de 1,30 metros medidos desde el suelo a la base del extintor?</t>
    </r>
  </si>
  <si>
    <r>
      <t>6.14. </t>
    </r>
    <r>
      <rPr>
        <sz val="11"/>
        <color rgb="FF444444"/>
        <rFont val="Open Sans"/>
        <family val="2"/>
      </rPr>
      <t>¿Las empresas que presten el servicio de mantención de extintores se encuentren certificados por un organismos acreditado por el INN? (DS N°44)</t>
    </r>
  </si>
  <si>
    <r>
      <t>7.31. </t>
    </r>
    <r>
      <rPr>
        <sz val="11"/>
        <color rgb="FF444444"/>
        <rFont val="Open Sans"/>
        <family val="2"/>
      </rPr>
      <t>¿Las empresas que presten el servicio de mantención de extintores se encuentren certificados por un organismos acreditado por el INN? (DS N°44)</t>
    </r>
  </si>
  <si>
    <r>
      <t>6.15. </t>
    </r>
    <r>
      <rPr>
        <sz val="11"/>
        <color rgb="FF444444"/>
        <rFont val="Open Sans"/>
        <family val="2"/>
      </rPr>
      <t>¿Mantiene control de vectores de interés sanitario en la Instalación (Sanitización, Desinsección y Desratización?</t>
    </r>
  </si>
  <si>
    <r>
      <t>7.35. </t>
    </r>
    <r>
      <rPr>
        <sz val="11"/>
        <color rgb="FF444444"/>
        <rFont val="Open Sans"/>
        <family val="2"/>
      </rPr>
      <t>¿Mantiene control de vectores de interés sanitario en la Instalación?</t>
    </r>
  </si>
  <si>
    <r>
      <t>5.1. </t>
    </r>
    <r>
      <rPr>
        <sz val="11"/>
        <color rgb="FF444444"/>
        <rFont val="Open Sans"/>
        <family val="2"/>
      </rPr>
      <t>¿Se evidencian Procedimientos de Trabajo Seguro Específicos para todas las actividades en ejecución en la obra? Evidencia procedimiento firmado por cada partida de obra.</t>
    </r>
  </si>
  <si>
    <r>
      <t>6.3. </t>
    </r>
    <r>
      <rPr>
        <sz val="11"/>
        <color rgb="FF444444"/>
        <rFont val="Open Sans"/>
        <family val="2"/>
      </rPr>
      <t>¿Se evidencia la Entrega de Procedimiento de Trabajo Seguro y Capacitación de la Lí­nea de mando de la obra? (SGSSO-PG-28-R-01)</t>
    </r>
  </si>
  <si>
    <r>
      <t>6.4. </t>
    </r>
    <r>
      <rPr>
        <sz val="11"/>
        <color rgb="FF444444"/>
        <rFont val="Open Sans"/>
        <family val="2"/>
      </rPr>
      <t>¿Se evidencia la Entrega de Procedimiento de Trabajo Seguro y Capacitación del Comité Paritario de la obra? (SGSSO-PG-28-R-01)</t>
    </r>
  </si>
  <si>
    <r>
      <t>6.7. </t>
    </r>
    <r>
      <rPr>
        <sz val="11"/>
        <color rgb="FF444444"/>
        <rFont val="Open Sans"/>
        <family val="2"/>
      </rPr>
      <t>¿Se evidencia la Entrega de Procedimiento de Trabajo Seguro y Capacitación de todos los trabajadores de la obra? (SGSSO-PG-28-R-01)</t>
    </r>
  </si>
  <si>
    <r>
      <rPr>
        <b/>
        <sz val="11"/>
        <color rgb="FF444444"/>
        <rFont val="Open Sans"/>
        <family val="2"/>
      </rPr>
      <t>5.5.</t>
    </r>
    <r>
      <rPr>
        <sz val="11"/>
        <color rgb="FF444444"/>
        <rFont val="Open Sans"/>
        <family val="2"/>
      </rPr>
      <t xml:space="preserve"> ¿Existe responsable en los procedimientos de la coordinación para el desarrollo de las diferentes partidas, controlando la interacción de los riesgos?</t>
    </r>
  </si>
  <si>
    <r>
      <rPr>
        <b/>
        <sz val="11"/>
        <color rgb="FF444444"/>
        <rFont val="Open Sans"/>
        <family val="2"/>
      </rPr>
      <t xml:space="preserve">5.6. </t>
    </r>
    <r>
      <rPr>
        <sz val="11"/>
        <color rgb="FF444444"/>
        <rFont val="Open Sans"/>
        <family val="2"/>
      </rPr>
      <t>¿Se controla el cumplimiento de los procedimientos, mediante reportes de hallazgos en el GHIF?</t>
    </r>
  </si>
  <si>
    <r>
      <t>5.7. </t>
    </r>
    <r>
      <rPr>
        <sz val="11"/>
        <color rgb="FF444444"/>
        <rFont val="Open Sans"/>
        <family val="2"/>
      </rPr>
      <t>¿Se evidencian los Procedimientos de Trabajo Seguro Generales?</t>
    </r>
    <r>
      <rPr>
        <b/>
        <sz val="11"/>
        <color rgb="FF444444"/>
        <rFont val="Open Sans"/>
        <family val="2"/>
      </rPr>
      <t xml:space="preserve"> </t>
    </r>
    <r>
      <rPr>
        <sz val="11"/>
        <color rgb="FF444444"/>
        <rFont val="Open Sans"/>
        <family val="2"/>
      </rPr>
      <t>Evidenciar procedimientos firmado</t>
    </r>
    <r>
      <rPr>
        <b/>
        <sz val="11"/>
        <color rgb="FF444444"/>
        <rFont val="Open Sans"/>
        <family val="2"/>
      </rPr>
      <t>s</t>
    </r>
  </si>
  <si>
    <r>
      <t>6.5. </t>
    </r>
    <r>
      <rPr>
        <sz val="11"/>
        <color rgb="FF444444"/>
        <rFont val="Open Sans"/>
        <family val="2"/>
      </rPr>
      <t>¿Se evidencian Procedimientos de Trabajo Seguro Generales?</t>
    </r>
  </si>
  <si>
    <r>
      <t>3.4. </t>
    </r>
    <r>
      <rPr>
        <sz val="11"/>
        <color rgb="FF444444"/>
        <rFont val="Open Sans"/>
        <family val="2"/>
      </rPr>
      <t>¿Se evidencia adiestramiento de Elementos de Protección Personal para los trabajadores? (SGSST-PG-13-R-03 al SGSST-PG-13-R-08)</t>
    </r>
  </si>
  <si>
    <r>
      <t>3.7. </t>
    </r>
    <r>
      <rPr>
        <sz val="11"/>
        <color rgb="FF444444"/>
        <rFont val="Open Sans"/>
        <family val="2"/>
      </rPr>
      <t>¿Los EPP cuentan con certificación actualizada y vigente?</t>
    </r>
  </si>
  <si>
    <r>
      <rPr>
        <b/>
        <sz val="11"/>
        <rFont val="Open Sans"/>
        <family val="2"/>
      </rPr>
      <t>1.1.</t>
    </r>
    <r>
      <rPr>
        <sz val="11"/>
        <rFont val="Open Sans"/>
        <family val="2"/>
      </rPr>
      <t xml:space="preserve"> ¿Esta constituido el Comité Ejecutivo de Obra (CEO)? Mantiene acta de constitución y mensuales.</t>
    </r>
  </si>
  <si>
    <r>
      <rPr>
        <b/>
        <sz val="11"/>
        <rFont val="Open Sans"/>
        <family val="2"/>
      </rPr>
      <t>1.3</t>
    </r>
    <r>
      <rPr>
        <sz val="11"/>
        <rFont val="Open Sans"/>
        <family val="2"/>
      </rPr>
      <t> ¿Se realiza de manera semanal una reunión de coordinación de obra para tratar temas de Prevención de Riesgos y Salud en el Trabajo?</t>
    </r>
  </si>
  <si>
    <r>
      <rPr>
        <b/>
        <sz val="11"/>
        <rFont val="Open Sans"/>
        <family val="2"/>
      </rPr>
      <t>1.4.</t>
    </r>
    <r>
      <rPr>
        <sz val="11"/>
        <rFont val="Open Sans"/>
        <family val="2"/>
      </rPr>
      <t> ¿En la Reunión semanal de coordinación SST se aborda la planificación de actividades de la semana siguiente en la obra? (Carta Gantt)</t>
    </r>
  </si>
  <si>
    <r>
      <rPr>
        <b/>
        <sz val="11"/>
        <rFont val="Open Sans"/>
        <family val="2"/>
      </rPr>
      <t>1.5</t>
    </r>
    <r>
      <rPr>
        <sz val="11"/>
        <rFont val="Open Sans"/>
        <family val="2"/>
      </rPr>
      <t>. ¿Se registra en un acta los acuerdos establecidos, responsables de implementación de acciones y plazos de cumplimiento de cada una de las reuniones de SST?</t>
    </r>
  </si>
  <si>
    <r>
      <rPr>
        <b/>
        <sz val="11"/>
        <rFont val="Open Sans"/>
        <family val="2"/>
      </rPr>
      <t>1.7.</t>
    </r>
    <r>
      <rPr>
        <sz val="11"/>
        <rFont val="Open Sans"/>
        <family val="2"/>
      </rPr>
      <t xml:space="preserve"> ¿El Administrador de Obra o el Gerente Visitador difundieron la Política de SST?</t>
    </r>
  </si>
  <si>
    <r>
      <rPr>
        <b/>
        <sz val="11"/>
        <rFont val="Open Sans"/>
        <family val="2"/>
      </rPr>
      <t>1.8.</t>
    </r>
    <r>
      <rPr>
        <sz val="11"/>
        <rFont val="Open Sans"/>
        <family val="2"/>
      </rPr>
      <t xml:space="preserve"> ¿Los Programas de Liderazgo Participativo de SST se evalúan semanalmente?</t>
    </r>
  </si>
  <si>
    <r>
      <rPr>
        <b/>
        <sz val="11"/>
        <rFont val="Open Sans"/>
        <family val="2"/>
      </rPr>
      <t>1.6</t>
    </r>
    <r>
      <rPr>
        <sz val="11"/>
        <rFont val="Open Sans"/>
        <family val="2"/>
      </rPr>
      <t xml:space="preserve">. ¿Todos tienen Programas de Liderazgo Participativo de SST, desde el Administrador hasta los capataces?  </t>
    </r>
    <r>
      <rPr>
        <b/>
        <sz val="11"/>
        <rFont val="Open Sans"/>
        <family val="2"/>
      </rPr>
      <t>RG-SST-110</t>
    </r>
  </si>
  <si>
    <r>
      <rPr>
        <b/>
        <sz val="11"/>
        <rFont val="Open Sans"/>
        <family val="2"/>
      </rPr>
      <t>1.2</t>
    </r>
    <r>
      <rPr>
        <sz val="11"/>
        <rFont val="Open Sans"/>
        <family val="2"/>
      </rPr>
      <t xml:space="preserve"> ¿Se realiza una entrevista por el CEO a los trabajadores accidentados o que han declarado una enfermedad profesional? </t>
    </r>
    <r>
      <rPr>
        <b/>
        <sz val="11"/>
        <rFont val="Open Sans"/>
        <family val="2"/>
      </rPr>
      <t>RG-SST-17</t>
    </r>
  </si>
  <si>
    <r>
      <t>2.1. ¿Se evidencia que la línea de Supervisión realiza ART diariamente y cada vez que las condiciones del área cambien se vuelve analizar el ART ?</t>
    </r>
    <r>
      <rPr>
        <b/>
        <sz val="11"/>
        <rFont val="Open Sans"/>
        <family val="2"/>
      </rPr>
      <t xml:space="preserve"> RG-SST-61</t>
    </r>
  </si>
  <si>
    <r>
      <t xml:space="preserve">2.5. ¿Se evidencia registro de entrega de Procedimiento de Trabajo Seguro donde se establecen los métodos de trabajo correcto, riesgos y medidas de control? </t>
    </r>
    <r>
      <rPr>
        <b/>
        <sz val="11"/>
        <rFont val="Open Sans"/>
        <family val="2"/>
      </rPr>
      <t>RG-SST-23</t>
    </r>
  </si>
  <si>
    <r>
      <t>3.1. </t>
    </r>
    <r>
      <rPr>
        <sz val="11"/>
        <color rgb="FF444444"/>
        <rFont val="Open Sans"/>
        <family val="2"/>
      </rPr>
      <t xml:space="preserve">¿Se evidencia registro de Entrega Inicial de EPP? </t>
    </r>
    <r>
      <rPr>
        <b/>
        <sz val="11"/>
        <color rgb="FF444444"/>
        <rFont val="Open Sans"/>
        <family val="2"/>
      </rPr>
      <t>RG-SST-21</t>
    </r>
  </si>
  <si>
    <r>
      <t>3.2. </t>
    </r>
    <r>
      <rPr>
        <sz val="11"/>
        <color rgb="FF444444"/>
        <rFont val="Open Sans"/>
        <family val="2"/>
      </rPr>
      <t xml:space="preserve">¿Se evidencia registro de reposición de EPP específicos; Auditivo y Respiratorio, estos indican la marca y modelo en el registro ? </t>
    </r>
    <r>
      <rPr>
        <b/>
        <sz val="11"/>
        <color rgb="FF444444"/>
        <rFont val="Open Sans"/>
        <family val="2"/>
      </rPr>
      <t>RG-SST-08</t>
    </r>
  </si>
  <si>
    <r>
      <t>3.3. </t>
    </r>
    <r>
      <rPr>
        <sz val="11"/>
        <color rgb="FF444444"/>
        <rFont val="Open Sans"/>
        <family val="2"/>
      </rPr>
      <t xml:space="preserve">¿Se ha capacitado a los trabajadores en la Importancia, uso y mantención de los EPP? </t>
    </r>
    <r>
      <rPr>
        <b/>
        <sz val="11"/>
        <color rgb="FF444444"/>
        <rFont val="Open Sans"/>
        <family val="2"/>
      </rPr>
      <t>RG-SGI-02</t>
    </r>
  </si>
  <si>
    <r>
      <t>3.5. </t>
    </r>
    <r>
      <rPr>
        <sz val="11"/>
        <color rgb="FF444444"/>
        <rFont val="Open Sans"/>
        <family val="2"/>
      </rPr>
      <t xml:space="preserve">¿La línea de mando inspecciona los Elementos de Protección Personal de los trabajadores quincenalmente? </t>
    </r>
    <r>
      <rPr>
        <b/>
        <sz val="11"/>
        <color rgb="FF444444"/>
        <rFont val="Open Sans"/>
        <family val="2"/>
      </rPr>
      <t>RG-SST-69</t>
    </r>
  </si>
  <si>
    <r>
      <t>3.6. </t>
    </r>
    <r>
      <rPr>
        <sz val="11"/>
        <color rgb="FF444444"/>
        <rFont val="Open Sans"/>
        <family val="2"/>
      </rPr>
      <t xml:space="preserve">¿La línea de Supervisión inspecciona los Elementos de Protección Personal de sus trabajadores específicamente (arnés, protección auditiva, protección respiratoria)? </t>
    </r>
    <r>
      <rPr>
        <b/>
        <sz val="11"/>
        <color rgb="FF444444"/>
        <rFont val="Open Sans"/>
        <family val="2"/>
      </rPr>
      <t>RG-SST-70</t>
    </r>
  </si>
  <si>
    <r>
      <t>3.8. </t>
    </r>
    <r>
      <rPr>
        <sz val="11"/>
        <color rgb="FF444444"/>
        <rFont val="Open Sans"/>
        <family val="2"/>
      </rPr>
      <t xml:space="preserve">¿Se evidencia Matriz de Elementos de Protección Personal de la Obra de todos los cargos de obra? </t>
    </r>
    <r>
      <rPr>
        <b/>
        <sz val="11"/>
        <color rgb="FF444444"/>
        <rFont val="Open Sans"/>
        <family val="2"/>
      </rPr>
      <t>RG-SST-62</t>
    </r>
  </si>
  <si>
    <r>
      <t>4.2. ¿</t>
    </r>
    <r>
      <rPr>
        <sz val="11"/>
        <color rgb="FF444444"/>
        <rFont val="Open Sans"/>
        <family val="2"/>
      </rPr>
      <t xml:space="preserve">Supervisores, línea de mando, CPHS, incluidas las empresas contratistas y subcontratistas han sido capacitados en Taller IPER? Dictado por Mutual o por el Experto SST de obra </t>
    </r>
    <r>
      <rPr>
        <b/>
        <sz val="11"/>
        <color rgb="FF444444"/>
        <rFont val="Open Sans"/>
        <family val="2"/>
      </rPr>
      <t>RG-SGI-02</t>
    </r>
  </si>
  <si>
    <r>
      <t>4.1. </t>
    </r>
    <r>
      <rPr>
        <sz val="11"/>
        <color rgb="FF444444"/>
        <rFont val="Open Sans"/>
        <family val="2"/>
      </rPr>
      <t xml:space="preserve">¿La obra establece el procedimiento de Implementación para la Gestión del Riesgo? </t>
    </r>
    <r>
      <rPr>
        <b/>
        <sz val="11"/>
        <color rgb="FF444444"/>
        <rFont val="Open Sans"/>
        <family val="2"/>
      </rPr>
      <t xml:space="preserve">PTS-SST-34 </t>
    </r>
    <r>
      <rPr>
        <sz val="11"/>
        <color rgb="FF444444"/>
        <rFont val="Open Sans"/>
        <family val="2"/>
      </rPr>
      <t xml:space="preserve"> Evidenciar mediante  firma del documento.</t>
    </r>
  </si>
  <si>
    <r>
      <t>4.3. </t>
    </r>
    <r>
      <rPr>
        <sz val="11"/>
        <color rgb="FF444444"/>
        <rFont val="Open Sans"/>
        <family val="2"/>
      </rPr>
      <t xml:space="preserve">¿La actualización de la Matriz ha sido aprobada por el Administrador de Obra y revisada por trabajadores o partes interesadas (CPHS, Jefes de área y supervisores)? Se evidencia mediante firma </t>
    </r>
    <r>
      <rPr>
        <b/>
        <sz val="11"/>
        <color rgb="FF444444"/>
        <rFont val="Open Sans"/>
        <family val="2"/>
      </rPr>
      <t>RG-SST-108</t>
    </r>
  </si>
  <si>
    <r>
      <t>4.5. </t>
    </r>
    <r>
      <rPr>
        <sz val="11"/>
        <color rgb="FF444444"/>
        <rFont val="Open Sans"/>
        <family val="2"/>
      </rPr>
      <t xml:space="preserve">¿Se ha difundido Matriz IPER a todos los trabajadores (propios y de empresas contratistas), línea de mando y CPHS  de la obra? </t>
    </r>
    <r>
      <rPr>
        <b/>
        <sz val="11"/>
        <color rgb="FF444444"/>
        <rFont val="Open Sans"/>
        <family val="2"/>
      </rPr>
      <t>RG-SGI-02</t>
    </r>
  </si>
  <si>
    <r>
      <t>4.4. </t>
    </r>
    <r>
      <rPr>
        <sz val="11"/>
        <color rgb="FF444444"/>
        <rFont val="Open Sans"/>
        <family val="2"/>
      </rPr>
      <t xml:space="preserve">Se revisa y actualiza la Matriz IPER semestralmente, cuando sucedan accidentes y/o cuando se planifican actividades extraordinarias en obra. 
</t>
    </r>
    <r>
      <rPr>
        <b/>
        <sz val="11"/>
        <color rgb="FF444444"/>
        <rFont val="Open Sans"/>
        <family val="2"/>
      </rPr>
      <t>RG-SST-108</t>
    </r>
  </si>
  <si>
    <r>
      <t xml:space="preserve">4.6. </t>
    </r>
    <r>
      <rPr>
        <sz val="11"/>
        <color rgb="FF444444"/>
        <rFont val="Open Sans"/>
        <family val="2"/>
      </rPr>
      <t>¿La matriz IPER incorpora todos los agentes que se exponen los trabajadores? (Sílice, Ruido, MMC, TMERT EESS, RUV, Riesgos Psicosociales,  Hipobaria, Vibraciones, Metales Pesados, Polvo de Madera, Solventes, etc.?</t>
    </r>
  </si>
  <si>
    <r>
      <t>5.2. </t>
    </r>
    <r>
      <rPr>
        <sz val="11"/>
        <color rgb="FF444444"/>
        <rFont val="Open Sans"/>
        <family val="2"/>
      </rPr>
      <t xml:space="preserve">¿Se evidencia la Entrega de Procedimiento de Trabajo Seguro y Capacitación a la Línea de mando de la obra? </t>
    </r>
    <r>
      <rPr>
        <b/>
        <sz val="11"/>
        <color rgb="FF444444"/>
        <rFont val="Open Sans"/>
        <family val="2"/>
      </rPr>
      <t>RG-SGI-02</t>
    </r>
  </si>
  <si>
    <r>
      <t>5.3. </t>
    </r>
    <r>
      <rPr>
        <sz val="11"/>
        <color rgb="FF444444"/>
        <rFont val="Open Sans"/>
        <family val="2"/>
      </rPr>
      <t xml:space="preserve">¿Se evidencia la Entrega de Procedimiento de Trabajo Seguro y Capacitación al Comité Paritario de la obra? </t>
    </r>
    <r>
      <rPr>
        <b/>
        <sz val="11"/>
        <color rgb="FF444444"/>
        <rFont val="Open Sans"/>
        <family val="2"/>
      </rPr>
      <t>RG-SST-23</t>
    </r>
  </si>
  <si>
    <r>
      <t>5.4. </t>
    </r>
    <r>
      <rPr>
        <sz val="11"/>
        <color rgb="FF444444"/>
        <rFont val="Open Sans"/>
        <family val="2"/>
      </rPr>
      <t xml:space="preserve">¿Se evidencia la difusión  Procedimiento de Trabajo Seguro y Capacitación de todos los trabajadores de la obra? </t>
    </r>
    <r>
      <rPr>
        <b/>
        <sz val="11"/>
        <color rgb="FF444444"/>
        <rFont val="Open Sans"/>
        <family val="2"/>
      </rPr>
      <t>RG-SGI-02</t>
    </r>
  </si>
  <si>
    <r>
      <t>6.4. </t>
    </r>
    <r>
      <rPr>
        <sz val="11"/>
        <color rgb="FF444444"/>
        <rFont val="Open Sans"/>
        <family val="2"/>
      </rPr>
      <t xml:space="preserve">¿La instalación de faena cuenta con una Estación de emergencia con todas las condiciones definidas por el Procedimiento de Emergencia? </t>
    </r>
    <r>
      <rPr>
        <b/>
        <sz val="11"/>
        <color rgb="FF444444"/>
        <rFont val="Open Sans"/>
        <family val="2"/>
      </rPr>
      <t>PTS-SST-37</t>
    </r>
  </si>
  <si>
    <r>
      <t>8.1. </t>
    </r>
    <r>
      <rPr>
        <sz val="11"/>
        <color theme="1"/>
        <rFont val="Open Sans"/>
        <family val="2"/>
      </rPr>
      <t xml:space="preserve">Todas las investigaciones de accidentes del trabajo ¿incluyen la declaración del trabajador involucrado y de testigos? </t>
    </r>
    <r>
      <rPr>
        <b/>
        <sz val="11"/>
        <color theme="1"/>
        <rFont val="Open Sans"/>
        <family val="2"/>
      </rPr>
      <t>RG-SST-114</t>
    </r>
  </si>
  <si>
    <r>
      <t xml:space="preserve">8.3. Se difunden y analizan en obra los Incidentes ocurridos en ella, así como los reportes flash enviados por correo de otras obras, para obtener aprendizajes? 
</t>
    </r>
    <r>
      <rPr>
        <b/>
        <sz val="11"/>
        <color theme="1"/>
        <rFont val="Open Sans"/>
        <family val="2"/>
      </rPr>
      <t>RG-SST-120</t>
    </r>
  </si>
  <si>
    <r>
      <t xml:space="preserve">8.4. Cuando los incidentes se materializan producto de acciones inseguras ¿Se reinstruye a los trabajadores respecto a los métodos de trabajo correctos, riesgos y medidas de control? </t>
    </r>
    <r>
      <rPr>
        <b/>
        <sz val="11"/>
        <color theme="1"/>
        <rFont val="Open Sans"/>
        <family val="2"/>
      </rPr>
      <t>RG-SGI-02</t>
    </r>
  </si>
  <si>
    <r>
      <t xml:space="preserve">8.12. ¿Los accidentes o incidentes de alto potencial son investigados por el AO - JT - SUP - CPHS de la Obra, CPHS? </t>
    </r>
    <r>
      <rPr>
        <b/>
        <sz val="11"/>
        <color theme="1"/>
        <rFont val="Open Sans"/>
        <family val="2"/>
      </rPr>
      <t>RG-SST-113</t>
    </r>
  </si>
  <si>
    <r>
      <t>9.1. </t>
    </r>
    <r>
      <rPr>
        <sz val="11"/>
        <color theme="1"/>
        <rFont val="Open Sans"/>
        <family val="2"/>
      </rPr>
      <t xml:space="preserve">¿Se ha Constituido Comité Paritario de Higiene y Seguridad en la Obra?
</t>
    </r>
    <r>
      <rPr>
        <b/>
        <sz val="11"/>
        <color theme="1"/>
        <rFont val="Open Sans"/>
        <family val="2"/>
      </rPr>
      <t>RG-SST-35</t>
    </r>
  </si>
  <si>
    <r>
      <t>9.2. </t>
    </r>
    <r>
      <rPr>
        <sz val="11"/>
        <color theme="1"/>
        <rFont val="Open Sans"/>
        <family val="2"/>
      </rPr>
      <t xml:space="preserve">El Comité Paritario ¿cuenta con un programa de trabajo para el año en curso? ¿Mantiene los registros del cumplimiento de las actividades programadas? 
</t>
    </r>
    <r>
      <rPr>
        <b/>
        <sz val="11"/>
        <color theme="1"/>
        <rFont val="Open Sans"/>
        <family val="2"/>
      </rPr>
      <t>RG-SST-39</t>
    </r>
  </si>
  <si>
    <r>
      <t>9.3. ¿</t>
    </r>
    <r>
      <rPr>
        <sz val="11"/>
        <color theme="1"/>
        <rFont val="Open Sans"/>
        <family val="2"/>
      </rPr>
      <t xml:space="preserve">Se realiza seguimiento mensual (mínimo) a las recomendaciones y puntos acordados en las reuniones de CPHS? </t>
    </r>
    <r>
      <rPr>
        <b/>
        <sz val="11"/>
        <color theme="1"/>
        <rFont val="Open Sans"/>
        <family val="2"/>
      </rPr>
      <t>RG-SST-38</t>
    </r>
  </si>
  <si>
    <r>
      <t>9.4. ¿</t>
    </r>
    <r>
      <rPr>
        <sz val="11"/>
        <color theme="1"/>
        <rFont val="Open Sans"/>
        <family val="2"/>
      </rPr>
      <t xml:space="preserve">El Comité Paritario realiza reuniones mensuales y se deja registro de la misma en las respectivas actas? </t>
    </r>
    <r>
      <rPr>
        <b/>
        <sz val="11"/>
        <color theme="1"/>
        <rFont val="Open Sans"/>
        <family val="2"/>
      </rPr>
      <t>RG-SST-38</t>
    </r>
  </si>
  <si>
    <t>Franklin Bratta</t>
  </si>
  <si>
    <t>Bimbo</t>
  </si>
  <si>
    <t>Oficina Central</t>
  </si>
  <si>
    <r>
      <t xml:space="preserve">2.2. ¿Se ha implementado Minuta IRL, con la medición de sus test de conocimiento?, de acuerdo al Art.15 del DS.44 </t>
    </r>
    <r>
      <rPr>
        <b/>
        <sz val="11"/>
        <rFont val="Open Sans"/>
        <family val="2"/>
      </rPr>
      <t>RG-SST-16; RG-SST-20</t>
    </r>
  </si>
  <si>
    <t>2.6 ¿Se encuentra firmado el Programa SST por el Gerente General / Administrador de Obra y el Prevencionista de Riesgo?</t>
  </si>
  <si>
    <t>2.8. ¿El sistema de gestión esta ordenado según lo indicado en cada lomo de los archivadores, encontrándose la documentación de manera fisica en estos?</t>
  </si>
  <si>
    <t>2.9. ¿Se ingresa semanalmente la documentación al DRIVE de SST?</t>
  </si>
  <si>
    <t>Loreto lopez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</si>
</sst>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0_ ;_ &quot;$&quot;* \-#,##0_ ;_ &quot;$&quot;* &quot;-&quot;_ ;_ @_ "/>
  </numFmts>
  <fonts count="23" x14ac:knownFonts="1">
    <font>
      <sz val="11"/>
      <color theme="1"/>
      <name val="Calibri"/>
      <family val="2"/>
      <scheme val="minor"/>
    </font>
    <font>
      <sz val="11"/>
      <color theme="1"/>
      <name val="Calibri"/>
      <family val="2"/>
      <scheme val="minor"/>
    </font>
    <font>
      <sz val="8"/>
      <name val="Calibri"/>
      <family val="2"/>
      <scheme val="minor"/>
    </font>
    <font>
      <sz val="11"/>
      <color theme="1"/>
      <name val="Open Sans"/>
      <family val="2"/>
    </font>
    <font>
      <b/>
      <sz val="12"/>
      <color theme="1"/>
      <name val="Open Sans"/>
      <family val="2"/>
    </font>
    <font>
      <sz val="11"/>
      <color theme="0"/>
      <name val="Open Sans"/>
      <family val="2"/>
    </font>
    <font>
      <sz val="12"/>
      <color theme="1"/>
      <name val="Open Sans"/>
      <family val="2"/>
    </font>
    <font>
      <b/>
      <sz val="12"/>
      <color theme="0"/>
      <name val="Open Sans"/>
      <family val="2"/>
    </font>
    <font>
      <b/>
      <sz val="18"/>
      <color theme="1"/>
      <name val="Open Sans"/>
      <family val="2"/>
    </font>
    <font>
      <b/>
      <sz val="11"/>
      <color theme="1"/>
      <name val="Open Sans"/>
      <family val="2"/>
    </font>
    <font>
      <sz val="10"/>
      <color theme="1"/>
      <name val="Open Sans"/>
      <family val="2"/>
    </font>
    <font>
      <b/>
      <sz val="10"/>
      <color theme="1"/>
      <name val="Open Sans"/>
      <family val="2"/>
    </font>
    <font>
      <sz val="10"/>
      <color theme="0"/>
      <name val="Open Sans"/>
      <family val="2"/>
    </font>
    <font>
      <b/>
      <sz val="10"/>
      <color theme="0"/>
      <name val="Open Sans"/>
      <family val="2"/>
    </font>
    <font>
      <sz val="10"/>
      <color rgb="FF000000"/>
      <name val="Open Sans"/>
      <family val="2"/>
    </font>
    <font>
      <b/>
      <sz val="11"/>
      <color theme="0"/>
      <name val="Open Sans"/>
      <family val="2"/>
    </font>
    <font>
      <b/>
      <sz val="9"/>
      <color rgb="FF444444"/>
      <name val="Open Sans"/>
      <family val="2"/>
    </font>
    <font>
      <sz val="12"/>
      <color theme="0"/>
      <name val="Open Sans"/>
      <family val="2"/>
    </font>
    <font>
      <sz val="11"/>
      <color rgb="FF444444"/>
      <name val="Open Sans"/>
      <family val="2"/>
    </font>
    <font>
      <b/>
      <sz val="11"/>
      <color rgb="FF444444"/>
      <name val="Open Sans"/>
      <family val="2"/>
    </font>
    <font>
      <sz val="11"/>
      <name val="Open Sans"/>
      <family val="2"/>
    </font>
    <font>
      <b/>
      <sz val="12"/>
      <name val="Open Sans"/>
      <family val="2"/>
    </font>
    <font>
      <b/>
      <sz val="11"/>
      <name val="Open Sans"/>
      <family val="2"/>
    </font>
  </fonts>
  <fills count="8">
    <fill>
      <patternFill patternType="none"/>
    </fill>
    <fill>
      <patternFill patternType="gray125"/>
    </fill>
    <fill>
      <patternFill patternType="solid">
        <fgColor rgb="FFFFFFFF"/>
        <bgColor indexed="64"/>
      </patternFill>
    </fill>
    <fill>
      <patternFill patternType="solid">
        <fgColor theme="2" tint="-0.499984740745262"/>
        <bgColor indexed="64"/>
      </patternFill>
    </fill>
    <fill>
      <patternFill patternType="solid">
        <fgColor rgb="FFFFFF00"/>
        <bgColor indexed="64"/>
      </patternFill>
    </fill>
    <fill>
      <patternFill patternType="solid">
        <fgColor theme="0"/>
        <bgColor indexed="64"/>
      </patternFill>
    </fill>
    <fill>
      <patternFill patternType="solid">
        <fgColor rgb="FF001A5A"/>
        <bgColor indexed="64"/>
      </patternFill>
    </fill>
    <fill>
      <patternFill patternType="solid">
        <fgColor rgb="FF51E33D"/>
        <bgColor indexed="64"/>
      </patternFill>
    </fill>
  </fills>
  <borders count="14">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style="hair">
        <color indexed="64"/>
      </bottom>
      <diagonal/>
    </border>
  </borders>
  <cellStyleXfs count="3">
    <xf numFmtId="0" fontId="0" fillId="0" borderId="0"/>
    <xf numFmtId="9" fontId="1" fillId="0" borderId="0" applyFont="0" applyFill="0" applyBorder="0" applyAlignment="0" applyProtection="0"/>
    <xf numFmtId="42" fontId="1" fillId="0" borderId="0" applyFont="0" applyFill="0" applyBorder="0" applyAlignment="0" applyProtection="0"/>
  </cellStyleXfs>
  <cellXfs count="131">
    <xf numFmtId="0" fontId="0" fillId="0" borderId="0" xfId="0"/>
    <xf numFmtId="0" fontId="3" fillId="0" borderId="0" xfId="0" applyFont="1"/>
    <xf numFmtId="0" fontId="4" fillId="5" borderId="0" xfId="0" applyFont="1" applyFill="1" applyAlignment="1">
      <alignment vertical="center" wrapText="1"/>
    </xf>
    <xf numFmtId="0" fontId="4" fillId="5" borderId="0" xfId="0" applyFont="1" applyFill="1" applyAlignment="1">
      <alignment vertical="center"/>
    </xf>
    <xf numFmtId="0" fontId="6" fillId="5" borderId="0" xfId="0" applyFont="1" applyFill="1" applyAlignment="1">
      <alignment horizontal="center"/>
    </xf>
    <xf numFmtId="0" fontId="4" fillId="5" borderId="0" xfId="0" applyFont="1" applyFill="1"/>
    <xf numFmtId="0" fontId="6" fillId="0" borderId="0" xfId="0" applyFont="1"/>
    <xf numFmtId="0" fontId="6" fillId="0" borderId="0" xfId="0" applyFont="1" applyAlignment="1">
      <alignment horizontal="center"/>
    </xf>
    <xf numFmtId="0" fontId="3" fillId="0" borderId="0" xfId="0" applyFont="1" applyAlignment="1">
      <alignment horizontal="center"/>
    </xf>
    <xf numFmtId="0" fontId="9" fillId="0" borderId="0" xfId="0" applyFont="1"/>
    <xf numFmtId="0" fontId="10" fillId="0" borderId="0" xfId="0" applyFont="1"/>
    <xf numFmtId="0" fontId="10" fillId="5" borderId="0" xfId="0" applyFont="1" applyFill="1"/>
    <xf numFmtId="0" fontId="11" fillId="5" borderId="0" xfId="0" applyFont="1" applyFill="1" applyAlignment="1">
      <alignment vertical="center" wrapText="1"/>
    </xf>
    <xf numFmtId="0" fontId="11" fillId="5" borderId="0" xfId="0" applyFont="1" applyFill="1" applyAlignment="1">
      <alignment vertical="center"/>
    </xf>
    <xf numFmtId="0" fontId="12" fillId="5" borderId="0" xfId="0" applyFont="1" applyFill="1" applyAlignment="1">
      <alignment horizontal="center" vertical="center"/>
    </xf>
    <xf numFmtId="0" fontId="10" fillId="5" borderId="0" xfId="0" applyFont="1" applyFill="1" applyAlignment="1">
      <alignment horizontal="center" vertical="center"/>
    </xf>
    <xf numFmtId="0" fontId="10" fillId="5" borderId="0" xfId="0" applyFont="1" applyFill="1" applyAlignment="1">
      <alignment horizontal="center"/>
    </xf>
    <xf numFmtId="0" fontId="11" fillId="5" borderId="0" xfId="0" applyFont="1" applyFill="1"/>
    <xf numFmtId="0" fontId="11" fillId="5" borderId="0" xfId="0" applyFont="1" applyFill="1" applyAlignment="1">
      <alignment horizontal="center" vertical="center"/>
    </xf>
    <xf numFmtId="0" fontId="10" fillId="0" borderId="0" xfId="0" applyFont="1" applyAlignment="1">
      <alignment horizontal="center"/>
    </xf>
    <xf numFmtId="0" fontId="13" fillId="0" borderId="0" xfId="0" applyFont="1" applyAlignment="1">
      <alignment vertical="center" wrapText="1"/>
    </xf>
    <xf numFmtId="0" fontId="13" fillId="0" borderId="0" xfId="0" applyFont="1" applyAlignment="1">
      <alignment horizontal="center" vertical="center"/>
    </xf>
    <xf numFmtId="0" fontId="11" fillId="0" borderId="0" xfId="0" applyFont="1"/>
    <xf numFmtId="0" fontId="10" fillId="0" borderId="7" xfId="0" applyFont="1" applyBorder="1" applyAlignment="1">
      <alignment horizontal="left" vertical="center"/>
    </xf>
    <xf numFmtId="9" fontId="10" fillId="0" borderId="7" xfId="0" applyNumberFormat="1" applyFont="1" applyBorder="1" applyAlignment="1">
      <alignment horizontal="center" vertical="center"/>
    </xf>
    <xf numFmtId="14" fontId="10" fillId="0" borderId="7" xfId="0" applyNumberFormat="1" applyFont="1" applyBorder="1" applyAlignment="1">
      <alignment horizontal="left" vertical="center"/>
    </xf>
    <xf numFmtId="9" fontId="11" fillId="0" borderId="7" xfId="0" applyNumberFormat="1" applyFont="1" applyBorder="1" applyAlignment="1">
      <alignment horizontal="center" vertical="center"/>
    </xf>
    <xf numFmtId="0" fontId="13" fillId="3" borderId="7" xfId="0" applyFont="1" applyFill="1" applyBorder="1" applyAlignment="1">
      <alignment horizontal="center" vertical="center"/>
    </xf>
    <xf numFmtId="0" fontId="14" fillId="0" borderId="7" xfId="0" applyFont="1" applyBorder="1" applyAlignment="1">
      <alignment vertical="center" wrapText="1"/>
    </xf>
    <xf numFmtId="9" fontId="10" fillId="0" borderId="7" xfId="0" applyNumberFormat="1" applyFont="1" applyBorder="1" applyAlignment="1">
      <alignment horizontal="center"/>
    </xf>
    <xf numFmtId="42" fontId="14" fillId="0" borderId="7" xfId="2" applyFont="1" applyBorder="1" applyAlignment="1">
      <alignment vertical="center" wrapText="1"/>
    </xf>
    <xf numFmtId="42" fontId="14" fillId="5" borderId="7" xfId="2" applyFont="1" applyFill="1" applyBorder="1" applyAlignment="1">
      <alignment vertical="center" wrapText="1"/>
    </xf>
    <xf numFmtId="0" fontId="11" fillId="0" borderId="7" xfId="0" applyFont="1" applyBorder="1"/>
    <xf numFmtId="0" fontId="11" fillId="0" borderId="7" xfId="0" applyFont="1" applyBorder="1" applyAlignment="1">
      <alignment vertical="center"/>
    </xf>
    <xf numFmtId="0" fontId="8" fillId="5" borderId="0" xfId="0" applyFont="1" applyFill="1" applyAlignment="1">
      <alignment vertical="center"/>
    </xf>
    <xf numFmtId="0" fontId="7" fillId="5" borderId="0" xfId="0" applyFont="1" applyFill="1" applyAlignment="1">
      <alignment vertical="center"/>
    </xf>
    <xf numFmtId="0" fontId="4" fillId="0" borderId="0" xfId="0" applyFont="1"/>
    <xf numFmtId="0" fontId="6" fillId="0" borderId="7" xfId="0" applyFont="1" applyBorder="1" applyAlignment="1">
      <alignment horizontal="left" vertical="center"/>
    </xf>
    <xf numFmtId="0" fontId="3" fillId="0" borderId="0" xfId="0" applyFont="1" applyAlignment="1">
      <alignment horizontal="left" vertical="center"/>
    </xf>
    <xf numFmtId="0" fontId="3" fillId="0" borderId="1" xfId="0" applyFont="1" applyBorder="1" applyAlignment="1">
      <alignment horizontal="center" vertical="center"/>
    </xf>
    <xf numFmtId="0" fontId="3" fillId="0" borderId="7" xfId="0" applyFont="1" applyBorder="1" applyAlignment="1">
      <alignment horizontal="center" vertical="center"/>
    </xf>
    <xf numFmtId="9" fontId="3" fillId="0" borderId="7" xfId="1" applyFont="1" applyBorder="1" applyAlignment="1">
      <alignment horizontal="center" vertical="center"/>
    </xf>
    <xf numFmtId="0" fontId="5" fillId="0" borderId="0" xfId="0" applyFont="1"/>
    <xf numFmtId="0" fontId="7" fillId="0" borderId="0" xfId="0" applyFont="1"/>
    <xf numFmtId="0" fontId="6" fillId="5" borderId="0" xfId="0" applyFont="1" applyFill="1" applyAlignment="1">
      <alignment horizontal="center" vertical="center"/>
    </xf>
    <xf numFmtId="0" fontId="17" fillId="0" borderId="0" xfId="0" applyFont="1"/>
    <xf numFmtId="0" fontId="15" fillId="0" borderId="0" xfId="0" applyFont="1"/>
    <xf numFmtId="0" fontId="5" fillId="0" borderId="0" xfId="0" applyFont="1" applyAlignment="1">
      <alignment horizontal="left" vertical="center"/>
    </xf>
    <xf numFmtId="0" fontId="3" fillId="0" borderId="4" xfId="0" applyFont="1" applyBorder="1" applyAlignment="1">
      <alignment horizontal="center" vertical="center"/>
    </xf>
    <xf numFmtId="0" fontId="3" fillId="0" borderId="2" xfId="0" applyFont="1" applyBorder="1" applyAlignment="1">
      <alignment horizontal="center"/>
    </xf>
    <xf numFmtId="0" fontId="3" fillId="0" borderId="3" xfId="0" applyFont="1" applyBorder="1" applyAlignment="1">
      <alignment horizontal="center"/>
    </xf>
    <xf numFmtId="0" fontId="3" fillId="0" borderId="0" xfId="0" applyFont="1" applyAlignment="1">
      <alignment horizontal="center" vertical="center"/>
    </xf>
    <xf numFmtId="0" fontId="9" fillId="0" borderId="0" xfId="0" applyFont="1" applyAlignment="1">
      <alignment vertical="center"/>
    </xf>
    <xf numFmtId="0" fontId="9" fillId="0" borderId="0" xfId="0" applyFont="1" applyAlignment="1">
      <alignment vertical="center" wrapText="1"/>
    </xf>
    <xf numFmtId="0" fontId="3" fillId="0" borderId="7" xfId="0" applyFont="1" applyBorder="1" applyAlignment="1">
      <alignment horizontal="left" vertical="center"/>
    </xf>
    <xf numFmtId="0" fontId="3" fillId="0" borderId="10" xfId="0" applyFont="1" applyBorder="1" applyAlignment="1">
      <alignment horizontal="center" vertical="center"/>
    </xf>
    <xf numFmtId="0" fontId="7" fillId="5" borderId="0" xfId="0" applyFont="1" applyFill="1"/>
    <xf numFmtId="0" fontId="6" fillId="5" borderId="0" xfId="0" applyFont="1" applyFill="1"/>
    <xf numFmtId="0" fontId="17" fillId="5" borderId="0" xfId="0" applyFont="1" applyFill="1"/>
    <xf numFmtId="0" fontId="6" fillId="0" borderId="13" xfId="0" applyFont="1" applyBorder="1" applyAlignment="1">
      <alignment horizontal="left" vertical="center"/>
    </xf>
    <xf numFmtId="0" fontId="6" fillId="0" borderId="3" xfId="0" applyFont="1" applyBorder="1" applyAlignment="1">
      <alignment horizontal="left" vertical="center"/>
    </xf>
    <xf numFmtId="0" fontId="3" fillId="0" borderId="8" xfId="0" applyFont="1" applyBorder="1" applyAlignment="1">
      <alignment horizontal="center" vertical="center"/>
    </xf>
    <xf numFmtId="0" fontId="6" fillId="0" borderId="0" xfId="0" applyFont="1" applyAlignment="1">
      <alignment horizontal="center" vertical="center"/>
    </xf>
    <xf numFmtId="0" fontId="3" fillId="0" borderId="0" xfId="0" applyFont="1" applyAlignment="1">
      <alignment vertical="center"/>
    </xf>
    <xf numFmtId="9" fontId="3" fillId="0" borderId="7" xfId="1" applyFont="1" applyBorder="1" applyAlignment="1">
      <alignment horizontal="center"/>
    </xf>
    <xf numFmtId="0" fontId="3" fillId="0" borderId="10" xfId="0" applyFont="1" applyBorder="1" applyAlignment="1">
      <alignment horizontal="center"/>
    </xf>
    <xf numFmtId="14" fontId="6" fillId="0" borderId="7" xfId="0" applyNumberFormat="1" applyFont="1" applyBorder="1" applyAlignment="1">
      <alignment horizontal="left" vertical="center"/>
    </xf>
    <xf numFmtId="0" fontId="16" fillId="0" borderId="0" xfId="0" applyFont="1" applyAlignment="1">
      <alignment horizontal="left" vertical="center" wrapText="1"/>
    </xf>
    <xf numFmtId="0" fontId="6" fillId="0" borderId="7" xfId="0" applyFont="1" applyBorder="1" applyAlignment="1">
      <alignment vertical="center"/>
    </xf>
    <xf numFmtId="0" fontId="7" fillId="6" borderId="7" xfId="0" applyFont="1" applyFill="1" applyBorder="1" applyAlignment="1">
      <alignment horizontal="left" vertical="center"/>
    </xf>
    <xf numFmtId="0" fontId="7" fillId="6" borderId="7" xfId="0" applyFont="1" applyFill="1" applyBorder="1" applyAlignment="1">
      <alignment horizontal="left" vertical="center" wrapText="1"/>
    </xf>
    <xf numFmtId="0" fontId="7" fillId="6" borderId="7" xfId="0" applyFont="1" applyFill="1" applyBorder="1" applyAlignment="1">
      <alignment vertical="center"/>
    </xf>
    <xf numFmtId="0" fontId="7" fillId="6" borderId="7" xfId="0" applyFont="1" applyFill="1" applyBorder="1" applyAlignment="1">
      <alignment vertical="center" wrapText="1"/>
    </xf>
    <xf numFmtId="0" fontId="7" fillId="6" borderId="7"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15" fillId="6" borderId="7" xfId="0" applyFont="1" applyFill="1" applyBorder="1" applyAlignment="1">
      <alignment horizontal="left" vertical="center"/>
    </xf>
    <xf numFmtId="0" fontId="15" fillId="6" borderId="7" xfId="0" applyFont="1" applyFill="1" applyBorder="1" applyAlignment="1">
      <alignment horizontal="left" vertical="center" wrapText="1"/>
    </xf>
    <xf numFmtId="0" fontId="15" fillId="6" borderId="7" xfId="0" applyFont="1" applyFill="1" applyBorder="1" applyAlignment="1">
      <alignment vertical="center"/>
    </xf>
    <xf numFmtId="0" fontId="15" fillId="6" borderId="7" xfId="0" applyFont="1" applyFill="1" applyBorder="1" applyAlignment="1">
      <alignment vertical="center" wrapText="1"/>
    </xf>
    <xf numFmtId="0" fontId="13" fillId="6" borderId="7" xfId="0" applyFont="1" applyFill="1" applyBorder="1" applyAlignment="1">
      <alignment horizontal="left" vertical="center"/>
    </xf>
    <xf numFmtId="0" fontId="13" fillId="6" borderId="7" xfId="0" applyFont="1" applyFill="1" applyBorder="1" applyAlignment="1">
      <alignment horizontal="left" vertical="center" wrapText="1"/>
    </xf>
    <xf numFmtId="0" fontId="13" fillId="6" borderId="7" xfId="0" applyFont="1" applyFill="1" applyBorder="1" applyAlignment="1">
      <alignment vertical="center"/>
    </xf>
    <xf numFmtId="0" fontId="13" fillId="6" borderId="7" xfId="0" applyFont="1" applyFill="1" applyBorder="1" applyAlignment="1">
      <alignment horizontal="center" vertical="center" wrapText="1"/>
    </xf>
    <xf numFmtId="0" fontId="13" fillId="6" borderId="7" xfId="0" applyFont="1" applyFill="1" applyBorder="1" applyAlignment="1">
      <alignment horizontal="center" vertical="center"/>
    </xf>
    <xf numFmtId="20" fontId="6" fillId="0" borderId="7" xfId="0" applyNumberFormat="1" applyFont="1" applyBorder="1" applyAlignment="1">
      <alignment horizontal="left"/>
    </xf>
    <xf numFmtId="0" fontId="19" fillId="2" borderId="7" xfId="0" applyFont="1" applyFill="1" applyBorder="1" applyAlignment="1">
      <alignment horizontal="left" vertical="center" wrapText="1"/>
    </xf>
    <xf numFmtId="0" fontId="15" fillId="6" borderId="7" xfId="0" applyFont="1" applyFill="1" applyBorder="1" applyAlignment="1">
      <alignment horizontal="center" vertical="center" wrapText="1"/>
    </xf>
    <xf numFmtId="0" fontId="18" fillId="2" borderId="7" xfId="0" applyFont="1" applyFill="1" applyBorder="1" applyAlignment="1">
      <alignment horizontal="left" vertical="center" wrapText="1"/>
    </xf>
    <xf numFmtId="0" fontId="3" fillId="0" borderId="7" xfId="0" applyFont="1" applyBorder="1" applyAlignment="1">
      <alignment horizontal="center"/>
    </xf>
    <xf numFmtId="0" fontId="7" fillId="6" borderId="7" xfId="0" applyFont="1" applyFill="1" applyBorder="1" applyAlignment="1">
      <alignment horizontal="center" vertical="center" wrapText="1"/>
    </xf>
    <xf numFmtId="0" fontId="7" fillId="0" borderId="7" xfId="0" applyFont="1" applyBorder="1" applyAlignment="1">
      <alignment horizontal="center" vertical="center"/>
    </xf>
    <xf numFmtId="9" fontId="6" fillId="0" borderId="7" xfId="0" applyNumberFormat="1" applyFont="1" applyBorder="1" applyAlignment="1">
      <alignment horizontal="center"/>
    </xf>
    <xf numFmtId="0" fontId="6" fillId="0" borderId="7" xfId="0" applyFont="1" applyBorder="1" applyAlignment="1">
      <alignment horizontal="center"/>
    </xf>
    <xf numFmtId="0" fontId="15" fillId="6" borderId="7" xfId="0" applyFont="1" applyFill="1" applyBorder="1" applyAlignment="1">
      <alignment horizontal="center" vertical="center"/>
    </xf>
    <xf numFmtId="9" fontId="21" fillId="0" borderId="7" xfId="0" applyNumberFormat="1" applyFont="1" applyBorder="1" applyAlignment="1">
      <alignment horizontal="center" vertical="center"/>
    </xf>
    <xf numFmtId="0" fontId="21" fillId="0" borderId="7" xfId="0" applyFont="1" applyBorder="1" applyAlignment="1">
      <alignment horizontal="center" vertical="center"/>
    </xf>
    <xf numFmtId="0" fontId="20" fillId="0" borderId="7" xfId="0" applyFont="1" applyBorder="1" applyAlignment="1">
      <alignment horizontal="left" vertical="center" wrapText="1"/>
    </xf>
    <xf numFmtId="0" fontId="20" fillId="2" borderId="7" xfId="0" applyFont="1" applyFill="1" applyBorder="1" applyAlignment="1">
      <alignment horizontal="left" vertical="center" wrapText="1"/>
    </xf>
    <xf numFmtId="0" fontId="15" fillId="6" borderId="10" xfId="0" applyFont="1" applyFill="1" applyBorder="1" applyAlignment="1">
      <alignment horizontal="center" vertical="center" wrapText="1"/>
    </xf>
    <xf numFmtId="0" fontId="20" fillId="7" borderId="7" xfId="0" applyFont="1" applyFill="1" applyBorder="1" applyAlignment="1">
      <alignment horizontal="left" vertical="center" wrapText="1"/>
    </xf>
    <xf numFmtId="0" fontId="19" fillId="4" borderId="7" xfId="0" applyFont="1" applyFill="1" applyBorder="1" applyAlignment="1">
      <alignment horizontal="left" vertical="center" wrapText="1"/>
    </xf>
    <xf numFmtId="0" fontId="3" fillId="2" borderId="7" xfId="0" applyFont="1" applyFill="1" applyBorder="1" applyAlignment="1">
      <alignment horizontal="left" vertical="center" wrapText="1"/>
    </xf>
    <xf numFmtId="0" fontId="9" fillId="2" borderId="7" xfId="0" applyFont="1" applyFill="1" applyBorder="1" applyAlignment="1">
      <alignment horizontal="left" vertical="center" wrapText="1"/>
    </xf>
    <xf numFmtId="0" fontId="3" fillId="0" borderId="11" xfId="0" applyFont="1" applyBorder="1" applyAlignment="1">
      <alignment horizontal="center"/>
    </xf>
    <xf numFmtId="0" fontId="3" fillId="0" borderId="12" xfId="0" applyFont="1" applyBorder="1" applyAlignment="1">
      <alignment horizontal="center"/>
    </xf>
    <xf numFmtId="0" fontId="18" fillId="4" borderId="7" xfId="0" applyFont="1" applyFill="1" applyBorder="1" applyAlignment="1">
      <alignment horizontal="left" vertical="center" wrapText="1"/>
    </xf>
    <xf numFmtId="0" fontId="3" fillId="0" borderId="7" xfId="0" applyFont="1" applyBorder="1" applyAlignment="1">
      <alignment horizontal="center" vertical="center"/>
    </xf>
    <xf numFmtId="0" fontId="18" fillId="2" borderId="1" xfId="0" applyFont="1" applyFill="1" applyBorder="1" applyAlignment="1">
      <alignment horizontal="left" vertical="center" wrapText="1"/>
    </xf>
    <xf numFmtId="0" fontId="3" fillId="0" borderId="1" xfId="0" applyFont="1" applyBorder="1" applyAlignment="1">
      <alignment horizontal="center" vertical="center"/>
    </xf>
    <xf numFmtId="0" fontId="18" fillId="2" borderId="2" xfId="0" applyFont="1" applyFill="1" applyBorder="1" applyAlignment="1">
      <alignment horizontal="left" vertical="center" wrapText="1"/>
    </xf>
    <xf numFmtId="0" fontId="18" fillId="2" borderId="3" xfId="0" applyFont="1" applyFill="1" applyBorder="1" applyAlignment="1">
      <alignment horizontal="left" vertical="center" wrapText="1"/>
    </xf>
    <xf numFmtId="0" fontId="18" fillId="4" borderId="1" xfId="0" applyFont="1" applyFill="1" applyBorder="1" applyAlignment="1">
      <alignment horizontal="left" vertical="center" wrapText="1"/>
    </xf>
    <xf numFmtId="0" fontId="18" fillId="4" borderId="8" xfId="0" applyFont="1" applyFill="1" applyBorder="1" applyAlignment="1">
      <alignment horizontal="left" vertical="center" wrapText="1"/>
    </xf>
    <xf numFmtId="0" fontId="3" fillId="0" borderId="6" xfId="0" applyFont="1" applyBorder="1" applyAlignment="1">
      <alignment horizontal="center"/>
    </xf>
    <xf numFmtId="0" fontId="3" fillId="0" borderId="5" xfId="0" applyFont="1" applyBorder="1" applyAlignment="1">
      <alignment horizontal="center"/>
    </xf>
    <xf numFmtId="9" fontId="6" fillId="0" borderId="8" xfId="0" applyNumberFormat="1" applyFont="1" applyBorder="1" applyAlignment="1">
      <alignment horizontal="center"/>
    </xf>
    <xf numFmtId="0" fontId="6" fillId="0" borderId="8" xfId="0" applyFont="1" applyBorder="1" applyAlignment="1">
      <alignment horizontal="center"/>
    </xf>
    <xf numFmtId="0" fontId="7" fillId="0" borderId="9" xfId="0" applyFont="1" applyBorder="1" applyAlignment="1">
      <alignment horizontal="center" vertical="center"/>
    </xf>
    <xf numFmtId="0" fontId="3" fillId="0" borderId="4" xfId="0" applyFont="1" applyBorder="1" applyAlignment="1">
      <alignment horizontal="center" vertical="center"/>
    </xf>
    <xf numFmtId="0" fontId="18" fillId="4" borderId="7" xfId="0" applyFont="1" applyFill="1" applyBorder="1" applyAlignment="1">
      <alignment vertical="center" wrapText="1"/>
    </xf>
    <xf numFmtId="0" fontId="18" fillId="2" borderId="7" xfId="0" applyFont="1" applyFill="1" applyBorder="1" applyAlignment="1">
      <alignment vertical="center" wrapText="1"/>
    </xf>
    <xf numFmtId="0" fontId="18" fillId="2" borderId="7" xfId="0" applyFont="1" applyFill="1" applyBorder="1" applyAlignment="1">
      <alignment horizontal="left" vertical="center"/>
    </xf>
    <xf numFmtId="9" fontId="3" fillId="0" borderId="7" xfId="0" applyNumberFormat="1" applyFont="1" applyBorder="1" applyAlignment="1">
      <alignment horizontal="center"/>
    </xf>
    <xf numFmtId="0" fontId="15" fillId="0" borderId="7" xfId="0" applyFont="1" applyBorder="1" applyAlignment="1">
      <alignment horizontal="center" vertical="center"/>
    </xf>
    <xf numFmtId="0" fontId="7" fillId="6" borderId="11" xfId="0" applyFont="1" applyFill="1" applyBorder="1" applyAlignment="1">
      <alignment horizontal="center" vertical="center"/>
    </xf>
    <xf numFmtId="0" fontId="7" fillId="6" borderId="12" xfId="0" applyFont="1" applyFill="1" applyBorder="1" applyAlignment="1">
      <alignment horizontal="center" vertical="center"/>
    </xf>
    <xf numFmtId="0" fontId="11" fillId="0" borderId="7" xfId="0" applyFont="1" applyBorder="1" applyAlignment="1">
      <alignment horizontal="left" vertical="center"/>
    </xf>
    <xf numFmtId="0" fontId="13" fillId="0" borderId="7" xfId="0" applyFont="1" applyBorder="1" applyAlignment="1">
      <alignment horizontal="center" vertical="center"/>
    </xf>
    <xf numFmtId="0" fontId="13" fillId="6" borderId="7" xfId="0" applyFont="1" applyFill="1" applyBorder="1" applyAlignment="1">
      <alignment horizontal="center" vertical="center"/>
    </xf>
    <xf numFmtId="0" fontId="11" fillId="0" borderId="7" xfId="0" applyFont="1" applyBorder="1" applyAlignment="1">
      <alignment horizontal="left" vertical="top"/>
    </xf>
    <xf numFmtId="0" fontId="13" fillId="3" borderId="7" xfId="0" applyFont="1" applyFill="1" applyBorder="1" applyAlignment="1">
      <alignment horizontal="center" vertical="center"/>
    </xf>
  </cellXfs>
  <cellStyles count="3">
    <cellStyle name="Moneda [0]" xfId="2" builtinId="7"/>
    <cellStyle name="Normal" xfId="0" builtinId="0"/>
    <cellStyle name="Porcentaje" xfId="1" builtinId="5"/>
  </cellStyles>
  <dxfs count="6">
    <dxf>
      <font>
        <color theme="0"/>
      </font>
      <fill>
        <patternFill>
          <bgColor rgb="FFFF0000"/>
        </patternFill>
      </fill>
    </dxf>
    <dxf>
      <fill>
        <patternFill>
          <bgColor rgb="FFFFFF00"/>
        </patternFill>
      </fill>
    </dxf>
    <dxf>
      <fill>
        <patternFill>
          <bgColor rgb="FF51E33D"/>
        </patternFill>
      </fill>
    </dxf>
    <dxf>
      <font>
        <color theme="0"/>
      </font>
      <fill>
        <patternFill>
          <bgColor rgb="FFFF0000"/>
        </patternFill>
      </fill>
    </dxf>
    <dxf>
      <font>
        <color theme="1"/>
      </font>
      <fill>
        <patternFill>
          <bgColor rgb="FFFFFF00"/>
        </patternFill>
      </fill>
    </dxf>
    <dxf>
      <fill>
        <patternFill>
          <bgColor rgb="FF2FCD27"/>
        </patternFill>
      </fill>
    </dxf>
  </dxfs>
  <tableStyles count="0" defaultTableStyle="TableStyleMedium2" defaultPivotStyle="PivotStyleLight16"/>
  <colors>
    <mruColors>
      <color rgb="FF51E33D"/>
      <color rgb="FF001A5A"/>
      <color rgb="FF009BDB"/>
      <color rgb="FF82BB25"/>
      <color rgb="FF95BC11"/>
      <color rgb="FF2FCD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Cumpliento por Nivel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L"/>
        </a:p>
      </c:txPr>
    </c:title>
    <c:autoTitleDeleted val="0"/>
    <c:plotArea>
      <c:layout>
        <c:manualLayout>
          <c:layoutTarget val="inner"/>
          <c:xMode val="edge"/>
          <c:yMode val="edge"/>
          <c:x val="0.4438873244720386"/>
          <c:y val="0.1054736166266578"/>
          <c:w val="0.52622837333733485"/>
          <c:h val="0.83262895874555498"/>
        </c:manualLayout>
      </c:layout>
      <c:barChart>
        <c:barDir val="bar"/>
        <c:grouping val="clustered"/>
        <c:varyColors val="0"/>
        <c:ser>
          <c:idx val="0"/>
          <c:order val="0"/>
          <c:tx>
            <c:strRef>
              <c:f>'Cierre Fiscalización'!$C$14</c:f>
              <c:strCache>
                <c:ptCount val="1"/>
                <c:pt idx="0">
                  <c:v>Cumpliento por nivel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'Cierre Fiscalización'!$B$15:$B$35</c:f>
              <c:strCache>
                <c:ptCount val="20"/>
                <c:pt idx="0">
                  <c:v>Nivel 1: LIDERAZGO Y COMPROMISO</c:v>
                </c:pt>
                <c:pt idx="1">
                  <c:v>Nivel 2: GENERALIDADES DE IMPLEMENTACIÓN</c:v>
                </c:pt>
                <c:pt idx="2">
                  <c:v>Nivel 3:  ELEMENTOS DE PROTECCIÓN PERSONAL (EPP)</c:v>
                </c:pt>
                <c:pt idx="3">
                  <c:v>Nivel 4: IDENTIFICACIÓN DE PELIGROS Y EVALUACIÓN DE RIESGOS</c:v>
                </c:pt>
                <c:pt idx="4">
                  <c:v>Nivel 5: PROCEDIMIENTOS GENERALES Y ESPECÍFICOS DE SEGURIDAD</c:v>
                </c:pt>
                <c:pt idx="5">
                  <c:v>Nivel 6: INSTALACIÓN DE FAENA</c:v>
                </c:pt>
                <c:pt idx="6">
                  <c:v>Nivel 7: VEHÍCULOS LIVIANOS Y MAQUINARIA PESADA</c:v>
                </c:pt>
                <c:pt idx="7">
                  <c:v>Nivel 8:  REPORTE DE HALLAZGOS E INCIDENTES</c:v>
                </c:pt>
                <c:pt idx="8">
                  <c:v>Nivel 9: COMITÉ PARITARIO DE HIGIENE Y SEGURIDAD</c:v>
                </c:pt>
                <c:pt idx="9">
                  <c:v>Nivel 10: SUBCONTRATOS</c:v>
                </c:pt>
                <c:pt idx="10">
                  <c:v>Nivel 11: FORMACIÓN Y DESARROLLO</c:v>
                </c:pt>
                <c:pt idx="11">
                  <c:v>Nivel 12: SALUD EN EL TRABAJO</c:v>
                </c:pt>
                <c:pt idx="12">
                  <c:v> Nivel 13: GUÍA TÉCNICA RADIACIÓN UV </c:v>
                </c:pt>
                <c:pt idx="13">
                  <c:v> Nivel 14: PROTOCOLO PREXOR </c:v>
                </c:pt>
                <c:pt idx="14">
                  <c:v> Nivel 15: PROTOCOLO TMERT EESS </c:v>
                </c:pt>
                <c:pt idx="15">
                  <c:v> Nivel 16: PROTOCOLO DE VIGILANCIA DE RIESGOS PSICOSOCIALES </c:v>
                </c:pt>
                <c:pt idx="16">
                  <c:v> Nivel 17: GUÍA TÉCNICA MMC </c:v>
                </c:pt>
                <c:pt idx="17">
                  <c:v> Nivel 18: PROTOCOLO PLANESI </c:v>
                </c:pt>
                <c:pt idx="18">
                  <c:v> Nivel 19: DEMOLICIÓN Y DESMANTELAMIENTO  </c:v>
                </c:pt>
                <c:pt idx="19">
                  <c:v> Nivel 20: PILARES DE SEGURIDAD </c:v>
                </c:pt>
              </c:strCache>
            </c:strRef>
          </c:cat>
          <c:val>
            <c:numRef>
              <c:f>'Cierre Fiscalización'!$C$15:$C$35</c:f>
              <c:numCache>
                <c:formatCode>0%</c:formatCode>
                <c:ptCount val="21"/>
                <c:pt idx="0">
                  <c:v>0.5714285714285714</c:v>
                </c:pt>
                <c:pt idx="1">
                  <c:v>1</c:v>
                </c:pt>
                <c:pt idx="2">
                  <c:v>0</c:v>
                </c:pt>
                <c:pt idx="3">
                  <c:v>0</c:v>
                </c:pt>
                <c:pt idx="4">
                  <c:v>0</c:v>
                </c:pt>
                <c:pt idx="5">
                  <c:v>0</c:v>
                </c:pt>
                <c:pt idx="6">
                  <c:v>0</c:v>
                </c:pt>
                <c:pt idx="7">
                  <c:v>0</c:v>
                </c:pt>
                <c:pt idx="8">
                  <c:v>0</c:v>
                </c:pt>
                <c:pt idx="9">
                  <c:v>0</c:v>
                </c:pt>
                <c:pt idx="10">
                  <c:v>0</c:v>
                </c:pt>
                <c:pt idx="11">
                  <c:v>1</c:v>
                </c:pt>
                <c:pt idx="12">
                  <c:v>0.77777777777777779</c:v>
                </c:pt>
                <c:pt idx="13">
                  <c:v>1</c:v>
                </c:pt>
                <c:pt idx="14">
                  <c:v>1</c:v>
                </c:pt>
                <c:pt idx="15">
                  <c:v>1</c:v>
                </c:pt>
                <c:pt idx="16">
                  <c:v>1</c:v>
                </c:pt>
                <c:pt idx="17">
                  <c:v>1</c:v>
                </c:pt>
                <c:pt idx="18">
                  <c:v>0.90476190476190477</c:v>
                </c:pt>
                <c:pt idx="19">
                  <c:v>0.95652173913043481</c:v>
                </c:pt>
                <c:pt idx="20">
                  <c:v>0</c:v>
                </c:pt>
              </c:numCache>
            </c:numRef>
          </c:val>
          <c:extLst>
            <c:ext xmlns:c16="http://schemas.microsoft.com/office/drawing/2014/chart" uri="{C3380CC4-5D6E-409C-BE32-E72D297353CC}">
              <c16:uniqueId val="{00000000-D466-4F30-A67D-064CBB08AB68}"/>
            </c:ext>
          </c:extLst>
        </c:ser>
        <c:dLbls>
          <c:showLegendKey val="0"/>
          <c:showVal val="0"/>
          <c:showCatName val="0"/>
          <c:showSerName val="0"/>
          <c:showPercent val="0"/>
          <c:showBubbleSize val="0"/>
        </c:dLbls>
        <c:gapWidth val="100"/>
        <c:axId val="343624848"/>
        <c:axId val="343626928"/>
      </c:barChart>
      <c:catAx>
        <c:axId val="3436248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2"/>
                </a:solidFill>
                <a:latin typeface="+mn-lt"/>
                <a:ea typeface="+mn-ea"/>
                <a:cs typeface="+mn-cs"/>
              </a:defRPr>
            </a:pPr>
            <a:endParaRPr lang="es-CL"/>
          </a:p>
        </c:txPr>
        <c:crossAx val="343626928"/>
        <c:crosses val="autoZero"/>
        <c:auto val="1"/>
        <c:lblAlgn val="l"/>
        <c:lblOffset val="100"/>
        <c:noMultiLvlLbl val="0"/>
      </c:catAx>
      <c:valAx>
        <c:axId val="343626928"/>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L"/>
          </a:p>
        </c:txPr>
        <c:crossAx val="343624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822227</xdr:colOff>
      <xdr:row>4</xdr:row>
      <xdr:rowOff>142728</xdr:rowOff>
    </xdr:from>
    <xdr:to>
      <xdr:col>4</xdr:col>
      <xdr:colOff>2190750</xdr:colOff>
      <xdr:row>7</xdr:row>
      <xdr:rowOff>73269</xdr:rowOff>
    </xdr:to>
    <xdr:sp macro="" textlink="">
      <xdr:nvSpPr>
        <xdr:cNvPr id="63" name="Diagrama de flujo: proceso 62">
          <a:extLst>
            <a:ext uri="{FF2B5EF4-FFF2-40B4-BE49-F238E27FC236}">
              <a16:creationId xmlns:a16="http://schemas.microsoft.com/office/drawing/2014/main" id="{838F18F6-2D68-8E0E-0C3C-CF4959D933AA}"/>
            </a:ext>
          </a:extLst>
        </xdr:cNvPr>
        <xdr:cNvSpPr/>
      </xdr:nvSpPr>
      <xdr:spPr>
        <a:xfrm>
          <a:off x="3518535" y="340555"/>
          <a:ext cx="6599946" cy="1007599"/>
        </a:xfrm>
        <a:prstGeom prst="flowChartProcess">
          <a:avLst/>
        </a:prstGeom>
        <a:noFill/>
        <a:ln w="19050">
          <a:solidFill>
            <a:srgbClr val="001A5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xdr:col>
      <xdr:colOff>1186961</xdr:colOff>
      <xdr:row>3</xdr:row>
      <xdr:rowOff>0</xdr:rowOff>
    </xdr:from>
    <xdr:to>
      <xdr:col>4</xdr:col>
      <xdr:colOff>2450223</xdr:colOff>
      <xdr:row>4</xdr:row>
      <xdr:rowOff>132098</xdr:rowOff>
    </xdr:to>
    <xdr:sp macro="" textlink="">
      <xdr:nvSpPr>
        <xdr:cNvPr id="51" name="Rectángulo 50">
          <a:extLst>
            <a:ext uri="{FF2B5EF4-FFF2-40B4-BE49-F238E27FC236}">
              <a16:creationId xmlns:a16="http://schemas.microsoft.com/office/drawing/2014/main" id="{7D0786A7-C952-4B9A-851F-A1283F9D5B2B}"/>
            </a:ext>
          </a:extLst>
        </xdr:cNvPr>
        <xdr:cNvSpPr/>
      </xdr:nvSpPr>
      <xdr:spPr>
        <a:xfrm>
          <a:off x="3883269" y="0"/>
          <a:ext cx="6494685" cy="329925"/>
        </a:xfrm>
        <a:prstGeom prst="rect">
          <a:avLst/>
        </a:prstGeom>
        <a:solidFill>
          <a:srgbClr val="009BDB"/>
        </a:solidFill>
        <a:ln w="19050">
          <a:solidFill>
            <a:srgbClr val="001A5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5</xdr:col>
      <xdr:colOff>673523</xdr:colOff>
      <xdr:row>6</xdr:row>
      <xdr:rowOff>177166</xdr:rowOff>
    </xdr:from>
    <xdr:to>
      <xdr:col>8</xdr:col>
      <xdr:colOff>22224</xdr:colOff>
      <xdr:row>7</xdr:row>
      <xdr:rowOff>69273</xdr:rowOff>
    </xdr:to>
    <xdr:sp macro="" textlink="">
      <xdr:nvSpPr>
        <xdr:cNvPr id="49" name="Diagrama de flujo: proceso 48">
          <a:extLst>
            <a:ext uri="{FF2B5EF4-FFF2-40B4-BE49-F238E27FC236}">
              <a16:creationId xmlns:a16="http://schemas.microsoft.com/office/drawing/2014/main" id="{110268F1-745A-4162-8964-6E0040B36ACB}"/>
            </a:ext>
          </a:extLst>
        </xdr:cNvPr>
        <xdr:cNvSpPr/>
      </xdr:nvSpPr>
      <xdr:spPr>
        <a:xfrm>
          <a:off x="12138159" y="1017098"/>
          <a:ext cx="2743065" cy="333720"/>
        </a:xfrm>
        <a:prstGeom prst="flowChartProcess">
          <a:avLst/>
        </a:prstGeom>
        <a:solidFill>
          <a:srgbClr val="009BDB"/>
        </a:solidFill>
        <a:ln w="19050">
          <a:solidFill>
            <a:srgbClr val="001A5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xdr:col>
      <xdr:colOff>2360084</xdr:colOff>
      <xdr:row>4</xdr:row>
      <xdr:rowOff>141606</xdr:rowOff>
    </xdr:from>
    <xdr:to>
      <xdr:col>5</xdr:col>
      <xdr:colOff>1056409</xdr:colOff>
      <xdr:row>5</xdr:row>
      <xdr:rowOff>282787</xdr:rowOff>
    </xdr:to>
    <xdr:sp macro="" textlink="">
      <xdr:nvSpPr>
        <xdr:cNvPr id="44" name="Paralelogramo 43">
          <a:extLst>
            <a:ext uri="{FF2B5EF4-FFF2-40B4-BE49-F238E27FC236}">
              <a16:creationId xmlns:a16="http://schemas.microsoft.com/office/drawing/2014/main" id="{19AFDBB1-E662-93D8-D52C-4359D50B77C0}"/>
            </a:ext>
          </a:extLst>
        </xdr:cNvPr>
        <xdr:cNvSpPr/>
      </xdr:nvSpPr>
      <xdr:spPr>
        <a:xfrm>
          <a:off x="10291811" y="938242"/>
          <a:ext cx="2229234" cy="340340"/>
        </a:xfrm>
        <a:prstGeom prst="parallelogram">
          <a:avLst/>
        </a:prstGeom>
        <a:noFill/>
        <a:ln w="19050">
          <a:solidFill>
            <a:srgbClr val="001A5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xdr:col>
      <xdr:colOff>2278673</xdr:colOff>
      <xdr:row>5</xdr:row>
      <xdr:rowOff>285749</xdr:rowOff>
    </xdr:from>
    <xdr:to>
      <xdr:col>5</xdr:col>
      <xdr:colOff>964988</xdr:colOff>
      <xdr:row>6</xdr:row>
      <xdr:rowOff>182668</xdr:rowOff>
    </xdr:to>
    <xdr:sp macro="" textlink="">
      <xdr:nvSpPr>
        <xdr:cNvPr id="46" name="Paralelogramo 45">
          <a:extLst>
            <a:ext uri="{FF2B5EF4-FFF2-40B4-BE49-F238E27FC236}">
              <a16:creationId xmlns:a16="http://schemas.microsoft.com/office/drawing/2014/main" id="{07523B2F-4A98-422A-84C2-75F6CA1A9417}"/>
            </a:ext>
          </a:extLst>
        </xdr:cNvPr>
        <xdr:cNvSpPr/>
      </xdr:nvSpPr>
      <xdr:spPr>
        <a:xfrm>
          <a:off x="10206404" y="681403"/>
          <a:ext cx="2217892" cy="336534"/>
        </a:xfrm>
        <a:prstGeom prst="parallelogram">
          <a:avLst/>
        </a:prstGeom>
        <a:noFill/>
        <a:ln w="19050">
          <a:solidFill>
            <a:srgbClr val="001A5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xdr:col>
      <xdr:colOff>2199429</xdr:colOff>
      <xdr:row>6</xdr:row>
      <xdr:rowOff>174202</xdr:rowOff>
    </xdr:from>
    <xdr:to>
      <xdr:col>5</xdr:col>
      <xdr:colOff>891887</xdr:colOff>
      <xdr:row>7</xdr:row>
      <xdr:rowOff>73025</xdr:rowOff>
    </xdr:to>
    <xdr:sp macro="" textlink="">
      <xdr:nvSpPr>
        <xdr:cNvPr id="47" name="Paralelogramo 46">
          <a:extLst>
            <a:ext uri="{FF2B5EF4-FFF2-40B4-BE49-F238E27FC236}">
              <a16:creationId xmlns:a16="http://schemas.microsoft.com/office/drawing/2014/main" id="{F003EA84-260D-453F-9DBB-1B634EBEAB2F}"/>
            </a:ext>
          </a:extLst>
        </xdr:cNvPr>
        <xdr:cNvSpPr/>
      </xdr:nvSpPr>
      <xdr:spPr>
        <a:xfrm>
          <a:off x="10131156" y="1611611"/>
          <a:ext cx="2225367" cy="340437"/>
        </a:xfrm>
        <a:prstGeom prst="parallelogram">
          <a:avLst/>
        </a:prstGeom>
        <a:solidFill>
          <a:srgbClr val="009BDB"/>
        </a:solidFill>
        <a:ln w="19050">
          <a:solidFill>
            <a:srgbClr val="001A5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xdr:col>
      <xdr:colOff>2444750</xdr:colOff>
      <xdr:row>3</xdr:row>
      <xdr:rowOff>0</xdr:rowOff>
    </xdr:from>
    <xdr:to>
      <xdr:col>6</xdr:col>
      <xdr:colOff>1164217</xdr:colOff>
      <xdr:row>4</xdr:row>
      <xdr:rowOff>135908</xdr:rowOff>
    </xdr:to>
    <xdr:sp macro="" textlink="">
      <xdr:nvSpPr>
        <xdr:cNvPr id="43" name="Rectángulo 42">
          <a:extLst>
            <a:ext uri="{FF2B5EF4-FFF2-40B4-BE49-F238E27FC236}">
              <a16:creationId xmlns:a16="http://schemas.microsoft.com/office/drawing/2014/main" id="{7CA909BD-01E5-0EE3-13AB-3BDBC17A6467}"/>
            </a:ext>
          </a:extLst>
        </xdr:cNvPr>
        <xdr:cNvSpPr/>
      </xdr:nvSpPr>
      <xdr:spPr>
        <a:xfrm>
          <a:off x="10371667" y="0"/>
          <a:ext cx="4487383" cy="336991"/>
        </a:xfrm>
        <a:prstGeom prst="rect">
          <a:avLst/>
        </a:prstGeom>
        <a:solidFill>
          <a:srgbClr val="009BDB"/>
        </a:solidFill>
        <a:ln w="19050">
          <a:solidFill>
            <a:srgbClr val="001A5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xdr:col>
      <xdr:colOff>1050169</xdr:colOff>
      <xdr:row>3</xdr:row>
      <xdr:rowOff>92660</xdr:rowOff>
    </xdr:from>
    <xdr:to>
      <xdr:col>6</xdr:col>
      <xdr:colOff>993471</xdr:colOff>
      <xdr:row>7</xdr:row>
      <xdr:rowOff>59690</xdr:rowOff>
    </xdr:to>
    <xdr:grpSp>
      <xdr:nvGrpSpPr>
        <xdr:cNvPr id="5" name="Grupo 3">
          <a:extLst>
            <a:ext uri="{FF2B5EF4-FFF2-40B4-BE49-F238E27FC236}">
              <a16:creationId xmlns:a16="http://schemas.microsoft.com/office/drawing/2014/main" id="{9178665F-1057-9016-E84E-637679290A3D}"/>
            </a:ext>
          </a:extLst>
        </xdr:cNvPr>
        <xdr:cNvGrpSpPr>
          <a:grpSpLocks/>
        </xdr:cNvGrpSpPr>
      </xdr:nvGrpSpPr>
      <xdr:grpSpPr bwMode="auto">
        <a:xfrm>
          <a:off x="3749078" y="703689"/>
          <a:ext cx="10936581" cy="1245285"/>
          <a:chOff x="2526154" y="75301"/>
          <a:chExt cx="7230966" cy="1283550"/>
        </a:xfrm>
      </xdr:grpSpPr>
      <xdr:sp macro="" textlink="">
        <xdr:nvSpPr>
          <xdr:cNvPr id="6" name="CuadroTexto 5">
            <a:extLst>
              <a:ext uri="{FF2B5EF4-FFF2-40B4-BE49-F238E27FC236}">
                <a16:creationId xmlns:a16="http://schemas.microsoft.com/office/drawing/2014/main" id="{C9A070D9-42C6-0B94-40C2-4A5BC7333885}"/>
              </a:ext>
            </a:extLst>
          </xdr:cNvPr>
          <xdr:cNvSpPr txBox="1"/>
        </xdr:nvSpPr>
        <xdr:spPr>
          <a:xfrm>
            <a:off x="2526154" y="350432"/>
            <a:ext cx="4353226" cy="951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LIDERAZGO Y COMPROMISO</a:t>
            </a:r>
          </a:p>
        </xdr:txBody>
      </xdr:sp>
      <xdr:sp macro="" textlink="">
        <xdr:nvSpPr>
          <xdr:cNvPr id="7" name="CuadroTexto 6">
            <a:extLst>
              <a:ext uri="{FF2B5EF4-FFF2-40B4-BE49-F238E27FC236}">
                <a16:creationId xmlns:a16="http://schemas.microsoft.com/office/drawing/2014/main" id="{E15DCC1C-29C5-AE00-F095-DAAD6826BEF7}"/>
              </a:ext>
            </a:extLst>
          </xdr:cNvPr>
          <xdr:cNvSpPr txBox="1"/>
        </xdr:nvSpPr>
        <xdr:spPr>
          <a:xfrm>
            <a:off x="3471432" y="92887"/>
            <a:ext cx="2556157" cy="14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200" b="1" i="1">
                <a:solidFill>
                  <a:schemeClr val="bg1"/>
                </a:solidFill>
                <a:latin typeface="Open Sans" panose="020B0606030504020204" pitchFamily="34" charset="0"/>
                <a:ea typeface="Open Sans" panose="020B0606030504020204" pitchFamily="34" charset="0"/>
                <a:cs typeface="Open Sans" panose="020B0606030504020204" pitchFamily="34" charset="0"/>
              </a:rPr>
              <a:t>SISTEMA DE GESTIÓN</a:t>
            </a:r>
            <a:r>
              <a:rPr lang="es-CL" sz="1200" b="1" i="1" baseline="0">
                <a:solidFill>
                  <a:schemeClr val="bg1"/>
                </a:solidFill>
                <a:latin typeface="Open Sans" panose="020B0606030504020204" pitchFamily="34" charset="0"/>
                <a:ea typeface="Open Sans" panose="020B0606030504020204" pitchFamily="34" charset="0"/>
                <a:cs typeface="Open Sans" panose="020B0606030504020204" pitchFamily="34" charset="0"/>
              </a:rPr>
              <a:t> SST</a:t>
            </a:r>
            <a:endParaRPr lang="es-CL" sz="1200" b="1" i="1">
              <a:solidFill>
                <a:schemeClr val="bg1"/>
              </a:solidFill>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8" name="CuadroTexto 7">
            <a:extLst>
              <a:ext uri="{FF2B5EF4-FFF2-40B4-BE49-F238E27FC236}">
                <a16:creationId xmlns:a16="http://schemas.microsoft.com/office/drawing/2014/main" id="{28B8E863-FE1E-9FC4-91FA-DE1954CD4B68}"/>
              </a:ext>
            </a:extLst>
          </xdr:cNvPr>
          <xdr:cNvSpPr txBox="1"/>
        </xdr:nvSpPr>
        <xdr:spPr>
          <a:xfrm>
            <a:off x="6862060" y="86248"/>
            <a:ext cx="1145586" cy="188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200" b="1" i="1">
                <a:solidFill>
                  <a:schemeClr val="bg1"/>
                </a:solidFill>
                <a:latin typeface="Open Sans" panose="020B0606030504020204" pitchFamily="34" charset="0"/>
                <a:ea typeface="Open Sans" panose="020B0606030504020204" pitchFamily="34" charset="0"/>
                <a:cs typeface="Open Sans" panose="020B0606030504020204" pitchFamily="34" charset="0"/>
              </a:rPr>
              <a:t>CÓDIGO</a:t>
            </a:r>
          </a:p>
        </xdr:txBody>
      </xdr:sp>
      <xdr:sp macro="" textlink="">
        <xdr:nvSpPr>
          <xdr:cNvPr id="9" name="CuadroTexto 8">
            <a:extLst>
              <a:ext uri="{FF2B5EF4-FFF2-40B4-BE49-F238E27FC236}">
                <a16:creationId xmlns:a16="http://schemas.microsoft.com/office/drawing/2014/main" id="{21B2C143-37DF-7548-1F87-D759DD310499}"/>
              </a:ext>
            </a:extLst>
          </xdr:cNvPr>
          <xdr:cNvSpPr txBox="1"/>
        </xdr:nvSpPr>
        <xdr:spPr>
          <a:xfrm>
            <a:off x="8310552" y="75301"/>
            <a:ext cx="1420526" cy="209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s-CL" sz="1200" b="1" i="1">
              <a:solidFill>
                <a:schemeClr val="bg1"/>
              </a:solidFill>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10" name="CuadroTexto 9">
            <a:extLst>
              <a:ext uri="{FF2B5EF4-FFF2-40B4-BE49-F238E27FC236}">
                <a16:creationId xmlns:a16="http://schemas.microsoft.com/office/drawing/2014/main" id="{95393D30-0F11-5369-0727-EB07908E7A9F}"/>
              </a:ext>
            </a:extLst>
          </xdr:cNvPr>
          <xdr:cNvSpPr txBox="1"/>
        </xdr:nvSpPr>
        <xdr:spPr>
          <a:xfrm>
            <a:off x="6575637" y="387873"/>
            <a:ext cx="1706923" cy="209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200" b="1" i="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FECHA</a:t>
            </a:r>
          </a:p>
        </xdr:txBody>
      </xdr:sp>
      <xdr:sp macro="" textlink="">
        <xdr:nvSpPr>
          <xdr:cNvPr id="11" name="CuadroTexto 10">
            <a:extLst>
              <a:ext uri="{FF2B5EF4-FFF2-40B4-BE49-F238E27FC236}">
                <a16:creationId xmlns:a16="http://schemas.microsoft.com/office/drawing/2014/main" id="{FCDB0A86-F426-B3AC-BA69-2DF94F1152EF}"/>
              </a:ext>
            </a:extLst>
          </xdr:cNvPr>
          <xdr:cNvSpPr txBox="1"/>
        </xdr:nvSpPr>
        <xdr:spPr>
          <a:xfrm>
            <a:off x="6575657" y="746303"/>
            <a:ext cx="1706923" cy="198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200" b="1" i="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REVISIÓN</a:t>
            </a:r>
          </a:p>
        </xdr:txBody>
      </xdr:sp>
      <xdr:sp macro="" textlink="">
        <xdr:nvSpPr>
          <xdr:cNvPr id="12" name="CuadroTexto 11">
            <a:extLst>
              <a:ext uri="{FF2B5EF4-FFF2-40B4-BE49-F238E27FC236}">
                <a16:creationId xmlns:a16="http://schemas.microsoft.com/office/drawing/2014/main" id="{3384842D-6963-425B-1B8E-5662ADA2B0FE}"/>
              </a:ext>
            </a:extLst>
          </xdr:cNvPr>
          <xdr:cNvSpPr txBox="1"/>
        </xdr:nvSpPr>
        <xdr:spPr>
          <a:xfrm>
            <a:off x="8316954" y="358012"/>
            <a:ext cx="1351791" cy="229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s-CL" sz="1200" b="0" i="1">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13" name="CuadroTexto 12">
            <a:extLst>
              <a:ext uri="{FF2B5EF4-FFF2-40B4-BE49-F238E27FC236}">
                <a16:creationId xmlns:a16="http://schemas.microsoft.com/office/drawing/2014/main" id="{FD2950CB-A1B8-C595-34CD-2E4D270D7D7D}"/>
              </a:ext>
            </a:extLst>
          </xdr:cNvPr>
          <xdr:cNvSpPr txBox="1"/>
        </xdr:nvSpPr>
        <xdr:spPr>
          <a:xfrm>
            <a:off x="8305498" y="723847"/>
            <a:ext cx="1351791" cy="229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s-CL" sz="1200" b="0" i="1">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14" name="CuadroTexto 13">
            <a:extLst>
              <a:ext uri="{FF2B5EF4-FFF2-40B4-BE49-F238E27FC236}">
                <a16:creationId xmlns:a16="http://schemas.microsoft.com/office/drawing/2014/main" id="{6A4BBD64-D593-6A31-215F-70E29E933F10}"/>
              </a:ext>
            </a:extLst>
          </xdr:cNvPr>
          <xdr:cNvSpPr txBox="1"/>
        </xdr:nvSpPr>
        <xdr:spPr>
          <a:xfrm>
            <a:off x="6771658" y="1100135"/>
            <a:ext cx="1270355" cy="258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200" b="1" i="1">
                <a:solidFill>
                  <a:schemeClr val="bg1"/>
                </a:solidFill>
                <a:latin typeface="Open Sans" panose="020B0606030504020204" pitchFamily="34" charset="0"/>
                <a:ea typeface="Open Sans" panose="020B0606030504020204" pitchFamily="34" charset="0"/>
                <a:cs typeface="Open Sans" panose="020B0606030504020204" pitchFamily="34" charset="0"/>
              </a:rPr>
              <a:t>SST</a:t>
            </a:r>
          </a:p>
        </xdr:txBody>
      </xdr:sp>
      <xdr:sp macro="" textlink="">
        <xdr:nvSpPr>
          <xdr:cNvPr id="15" name="CuadroTexto 14">
            <a:extLst>
              <a:ext uri="{FF2B5EF4-FFF2-40B4-BE49-F238E27FC236}">
                <a16:creationId xmlns:a16="http://schemas.microsoft.com/office/drawing/2014/main" id="{143BF60B-41AE-7FB1-27F2-FF1D248C1761}"/>
              </a:ext>
            </a:extLst>
          </xdr:cNvPr>
          <xdr:cNvSpPr txBox="1"/>
        </xdr:nvSpPr>
        <xdr:spPr>
          <a:xfrm>
            <a:off x="8233491" y="1100135"/>
            <a:ext cx="1523629" cy="209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200" b="1" i="1">
                <a:solidFill>
                  <a:schemeClr val="bg1"/>
                </a:solidFill>
                <a:latin typeface="Open Sans" panose="020B0606030504020204" pitchFamily="34" charset="0"/>
                <a:ea typeface="Open Sans" panose="020B0606030504020204" pitchFamily="34" charset="0"/>
                <a:cs typeface="Open Sans" panose="020B0606030504020204" pitchFamily="34" charset="0"/>
              </a:rPr>
              <a:t>METALIUM</a:t>
            </a:r>
          </a:p>
        </xdr:txBody>
      </xdr:sp>
    </xdr:grpSp>
    <xdr:clientData/>
  </xdr:twoCellAnchor>
  <xdr:twoCellAnchor>
    <xdr:from>
      <xdr:col>0</xdr:col>
      <xdr:colOff>0</xdr:colOff>
      <xdr:row>3</xdr:row>
      <xdr:rowOff>0</xdr:rowOff>
    </xdr:from>
    <xdr:to>
      <xdr:col>2</xdr:col>
      <xdr:colOff>1318246</xdr:colOff>
      <xdr:row>7</xdr:row>
      <xdr:rowOff>73269</xdr:rowOff>
    </xdr:to>
    <xdr:sp macro="" textlink="">
      <xdr:nvSpPr>
        <xdr:cNvPr id="52" name="Paralelogramo 51">
          <a:extLst>
            <a:ext uri="{FF2B5EF4-FFF2-40B4-BE49-F238E27FC236}">
              <a16:creationId xmlns:a16="http://schemas.microsoft.com/office/drawing/2014/main" id="{8BCEA94B-5201-4E0A-823D-9868521CB685}"/>
            </a:ext>
          </a:extLst>
        </xdr:cNvPr>
        <xdr:cNvSpPr/>
      </xdr:nvSpPr>
      <xdr:spPr>
        <a:xfrm>
          <a:off x="0" y="0"/>
          <a:ext cx="4014554" cy="1348154"/>
        </a:xfrm>
        <a:prstGeom prst="parallelogram">
          <a:avLst/>
        </a:prstGeom>
        <a:solidFill>
          <a:schemeClr val="bg1"/>
        </a:solidFill>
        <a:ln w="19050">
          <a:solidFill>
            <a:srgbClr val="001A5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0</xdr:col>
      <xdr:colOff>0</xdr:colOff>
      <xdr:row>3</xdr:row>
      <xdr:rowOff>8660</xdr:rowOff>
    </xdr:from>
    <xdr:to>
      <xdr:col>1</xdr:col>
      <xdr:colOff>381000</xdr:colOff>
      <xdr:row>7</xdr:row>
      <xdr:rowOff>55100</xdr:rowOff>
    </xdr:to>
    <xdr:sp macro="" textlink="">
      <xdr:nvSpPr>
        <xdr:cNvPr id="53" name="Diagrama de flujo: proceso 52">
          <a:extLst>
            <a:ext uri="{FF2B5EF4-FFF2-40B4-BE49-F238E27FC236}">
              <a16:creationId xmlns:a16="http://schemas.microsoft.com/office/drawing/2014/main" id="{170A699A-2FA9-8476-6427-CA0F1CCF05F9}"/>
            </a:ext>
          </a:extLst>
        </xdr:cNvPr>
        <xdr:cNvSpPr/>
      </xdr:nvSpPr>
      <xdr:spPr>
        <a:xfrm>
          <a:off x="0" y="606137"/>
          <a:ext cx="545523" cy="1327986"/>
        </a:xfrm>
        <a:prstGeom prst="flowChartProcess">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editAs="oneCell">
    <xdr:from>
      <xdr:col>1</xdr:col>
      <xdr:colOff>97156</xdr:colOff>
      <xdr:row>3</xdr:row>
      <xdr:rowOff>157383</xdr:rowOff>
    </xdr:from>
    <xdr:to>
      <xdr:col>2</xdr:col>
      <xdr:colOff>971316</xdr:colOff>
      <xdr:row>6</xdr:row>
      <xdr:rowOff>209085</xdr:rowOff>
    </xdr:to>
    <xdr:pic>
      <xdr:nvPicPr>
        <xdr:cNvPr id="62" name="Imagen 61">
          <a:extLst>
            <a:ext uri="{FF2B5EF4-FFF2-40B4-BE49-F238E27FC236}">
              <a16:creationId xmlns:a16="http://schemas.microsoft.com/office/drawing/2014/main" id="{C7C0B0F9-CEBA-4E27-BED9-866653004E1C}"/>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5970" b="37687"/>
        <a:stretch/>
      </xdr:blipFill>
      <xdr:spPr bwMode="auto">
        <a:xfrm>
          <a:off x="258348" y="157383"/>
          <a:ext cx="3405466" cy="8964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2106638</xdr:colOff>
      <xdr:row>4</xdr:row>
      <xdr:rowOff>161192</xdr:rowOff>
    </xdr:from>
    <xdr:to>
      <xdr:col>4</xdr:col>
      <xdr:colOff>2220057</xdr:colOff>
      <xdr:row>7</xdr:row>
      <xdr:rowOff>58615</xdr:rowOff>
    </xdr:to>
    <xdr:sp macro="" textlink="">
      <xdr:nvSpPr>
        <xdr:cNvPr id="64" name="Paralelogramo 63">
          <a:extLst>
            <a:ext uri="{FF2B5EF4-FFF2-40B4-BE49-F238E27FC236}">
              <a16:creationId xmlns:a16="http://schemas.microsoft.com/office/drawing/2014/main" id="{E71A6AFE-883F-0319-3D0B-21A377888645}"/>
            </a:ext>
          </a:extLst>
        </xdr:cNvPr>
        <xdr:cNvSpPr/>
      </xdr:nvSpPr>
      <xdr:spPr>
        <a:xfrm>
          <a:off x="10034369" y="359019"/>
          <a:ext cx="113419" cy="974481"/>
        </a:xfrm>
        <a:prstGeom prst="parallelogram">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xdr:col>
      <xdr:colOff>1687377</xdr:colOff>
      <xdr:row>6</xdr:row>
      <xdr:rowOff>321640</xdr:rowOff>
    </xdr:from>
    <xdr:to>
      <xdr:col>4</xdr:col>
      <xdr:colOff>2183996</xdr:colOff>
      <xdr:row>7</xdr:row>
      <xdr:rowOff>16281</xdr:rowOff>
    </xdr:to>
    <xdr:sp macro="" textlink="">
      <xdr:nvSpPr>
        <xdr:cNvPr id="65" name="Diagrama de flujo: proceso 64">
          <a:extLst>
            <a:ext uri="{FF2B5EF4-FFF2-40B4-BE49-F238E27FC236}">
              <a16:creationId xmlns:a16="http://schemas.microsoft.com/office/drawing/2014/main" id="{6841709C-C2BB-0605-9510-2ED19E90EBB2}"/>
            </a:ext>
          </a:extLst>
        </xdr:cNvPr>
        <xdr:cNvSpPr/>
      </xdr:nvSpPr>
      <xdr:spPr>
        <a:xfrm>
          <a:off x="9619104" y="1759049"/>
          <a:ext cx="496619" cy="136255"/>
        </a:xfrm>
        <a:prstGeom prst="flowChartProcess">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xdr:col>
      <xdr:colOff>2074372</xdr:colOff>
      <xdr:row>4</xdr:row>
      <xdr:rowOff>147204</xdr:rowOff>
    </xdr:from>
    <xdr:to>
      <xdr:col>4</xdr:col>
      <xdr:colOff>2342804</xdr:colOff>
      <xdr:row>5</xdr:row>
      <xdr:rowOff>82781</xdr:rowOff>
    </xdr:to>
    <xdr:sp macro="" textlink="">
      <xdr:nvSpPr>
        <xdr:cNvPr id="66" name="Diagrama de flujo: proceso 65">
          <a:extLst>
            <a:ext uri="{FF2B5EF4-FFF2-40B4-BE49-F238E27FC236}">
              <a16:creationId xmlns:a16="http://schemas.microsoft.com/office/drawing/2014/main" id="{CECDFF8C-34B8-D1D9-6DBB-50A2FB90B454}"/>
            </a:ext>
          </a:extLst>
        </xdr:cNvPr>
        <xdr:cNvSpPr/>
      </xdr:nvSpPr>
      <xdr:spPr>
        <a:xfrm>
          <a:off x="10006099" y="346363"/>
          <a:ext cx="268432" cy="134736"/>
        </a:xfrm>
        <a:prstGeom prst="flowChartProcess">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0</xdr:col>
      <xdr:colOff>0</xdr:colOff>
      <xdr:row>2</xdr:row>
      <xdr:rowOff>190500</xdr:rowOff>
    </xdr:from>
    <xdr:to>
      <xdr:col>1</xdr:col>
      <xdr:colOff>292504</xdr:colOff>
      <xdr:row>3</xdr:row>
      <xdr:rowOff>0</xdr:rowOff>
    </xdr:to>
    <xdr:cxnSp macro="">
      <xdr:nvCxnSpPr>
        <xdr:cNvPr id="68" name="Conector recto 67">
          <a:extLst>
            <a:ext uri="{FF2B5EF4-FFF2-40B4-BE49-F238E27FC236}">
              <a16:creationId xmlns:a16="http://schemas.microsoft.com/office/drawing/2014/main" id="{44F9808E-AF01-1481-EA90-E90C7AC40A34}"/>
            </a:ext>
          </a:extLst>
        </xdr:cNvPr>
        <xdr:cNvCxnSpPr/>
      </xdr:nvCxnSpPr>
      <xdr:spPr>
        <a:xfrm flipH="1" flipV="1">
          <a:off x="0" y="588818"/>
          <a:ext cx="457027" cy="8659"/>
        </a:xfrm>
        <a:prstGeom prst="line">
          <a:avLst/>
        </a:prstGeom>
        <a:ln w="19050">
          <a:solidFill>
            <a:srgbClr val="001A5A"/>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550933</xdr:colOff>
      <xdr:row>3</xdr:row>
      <xdr:rowOff>68222</xdr:rowOff>
    </xdr:to>
    <xdr:grpSp>
      <xdr:nvGrpSpPr>
        <xdr:cNvPr id="5" name="Grupo 3">
          <a:extLst>
            <a:ext uri="{FF2B5EF4-FFF2-40B4-BE49-F238E27FC236}">
              <a16:creationId xmlns:a16="http://schemas.microsoft.com/office/drawing/2014/main" id="{4C9753FD-5C96-D518-758B-C6D822E3E91C}"/>
            </a:ext>
          </a:extLst>
        </xdr:cNvPr>
        <xdr:cNvGrpSpPr>
          <a:grpSpLocks/>
        </xdr:cNvGrpSpPr>
      </xdr:nvGrpSpPr>
      <xdr:grpSpPr bwMode="auto">
        <a:xfrm>
          <a:off x="0" y="0"/>
          <a:ext cx="13070593" cy="904517"/>
          <a:chOff x="2016232" y="86248"/>
          <a:chExt cx="9715663" cy="935794"/>
        </a:xfrm>
      </xdr:grpSpPr>
      <xdr:sp macro="" textlink="">
        <xdr:nvSpPr>
          <xdr:cNvPr id="7" name="CuadroTexto 6">
            <a:extLst>
              <a:ext uri="{FF2B5EF4-FFF2-40B4-BE49-F238E27FC236}">
                <a16:creationId xmlns:a16="http://schemas.microsoft.com/office/drawing/2014/main" id="{2F000C9D-C7C2-2315-A705-C5E3D95E99C2}"/>
              </a:ext>
            </a:extLst>
          </xdr:cNvPr>
          <xdr:cNvSpPr txBox="1"/>
        </xdr:nvSpPr>
        <xdr:spPr>
          <a:xfrm>
            <a:off x="2016232" y="96701"/>
            <a:ext cx="4353226" cy="156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900" b="1" i="1">
                <a:solidFill>
                  <a:schemeClr val="bg1"/>
                </a:solidFill>
                <a:latin typeface="Open Sans" panose="020B0606030504020204" pitchFamily="34" charset="0"/>
                <a:ea typeface="Open Sans" panose="020B0606030504020204" pitchFamily="34" charset="0"/>
                <a:cs typeface="Open Sans" panose="020B0606030504020204" pitchFamily="34" charset="0"/>
              </a:rPr>
              <a:t>SISTEMA DE GESTIÓN INTEGRADO</a:t>
            </a:r>
          </a:p>
        </xdr:txBody>
      </xdr:sp>
      <xdr:sp macro="" textlink="">
        <xdr:nvSpPr>
          <xdr:cNvPr id="8" name="CuadroTexto 7">
            <a:extLst>
              <a:ext uri="{FF2B5EF4-FFF2-40B4-BE49-F238E27FC236}">
                <a16:creationId xmlns:a16="http://schemas.microsoft.com/office/drawing/2014/main" id="{A2251A15-C8F7-A7E5-EC4A-3B125D7A6A6E}"/>
              </a:ext>
            </a:extLst>
          </xdr:cNvPr>
          <xdr:cNvSpPr txBox="1"/>
        </xdr:nvSpPr>
        <xdr:spPr>
          <a:xfrm>
            <a:off x="6862060" y="86248"/>
            <a:ext cx="1145586" cy="188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000" b="1" i="1">
                <a:solidFill>
                  <a:schemeClr val="bg1"/>
                </a:solidFill>
                <a:latin typeface="Open Sans" panose="020B0606030504020204" pitchFamily="34" charset="0"/>
                <a:ea typeface="Open Sans" panose="020B0606030504020204" pitchFamily="34" charset="0"/>
                <a:cs typeface="Open Sans" panose="020B0606030504020204" pitchFamily="34" charset="0"/>
              </a:rPr>
              <a:t>CÓDIGO</a:t>
            </a:r>
          </a:p>
        </xdr:txBody>
      </xdr:sp>
      <xdr:sp macro="" textlink="">
        <xdr:nvSpPr>
          <xdr:cNvPr id="9" name="CuadroTexto 8">
            <a:extLst>
              <a:ext uri="{FF2B5EF4-FFF2-40B4-BE49-F238E27FC236}">
                <a16:creationId xmlns:a16="http://schemas.microsoft.com/office/drawing/2014/main" id="{1146A679-A271-17BF-179C-7DDA59619CFD}"/>
              </a:ext>
            </a:extLst>
          </xdr:cNvPr>
          <xdr:cNvSpPr txBox="1"/>
        </xdr:nvSpPr>
        <xdr:spPr>
          <a:xfrm>
            <a:off x="8282586" y="86248"/>
            <a:ext cx="1420526" cy="209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100" b="1" i="1">
                <a:solidFill>
                  <a:schemeClr val="bg1"/>
                </a:solidFill>
                <a:latin typeface="Open Sans" panose="020B0606030504020204" pitchFamily="34" charset="0"/>
                <a:ea typeface="Open Sans" panose="020B0606030504020204" pitchFamily="34" charset="0"/>
                <a:cs typeface="Open Sans" panose="020B0606030504020204" pitchFamily="34" charset="0"/>
              </a:rPr>
              <a:t>RG-SST-130</a:t>
            </a:r>
          </a:p>
        </xdr:txBody>
      </xdr:sp>
      <xdr:sp macro="" textlink="">
        <xdr:nvSpPr>
          <xdr:cNvPr id="12" name="CuadroTexto 11">
            <a:extLst>
              <a:ext uri="{FF2B5EF4-FFF2-40B4-BE49-F238E27FC236}">
                <a16:creationId xmlns:a16="http://schemas.microsoft.com/office/drawing/2014/main" id="{6D4A3F48-AD79-DDAB-EA58-73CCBB3C850E}"/>
              </a:ext>
            </a:extLst>
          </xdr:cNvPr>
          <xdr:cNvSpPr txBox="1"/>
        </xdr:nvSpPr>
        <xdr:spPr>
          <a:xfrm>
            <a:off x="10168856" y="312549"/>
            <a:ext cx="1351791" cy="229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100" b="0" i="1">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rPr>
              <a:t>06-12-2024</a:t>
            </a:r>
          </a:p>
        </xdr:txBody>
      </xdr:sp>
      <xdr:sp macro="" textlink="">
        <xdr:nvSpPr>
          <xdr:cNvPr id="13" name="CuadroTexto 12">
            <a:extLst>
              <a:ext uri="{FF2B5EF4-FFF2-40B4-BE49-F238E27FC236}">
                <a16:creationId xmlns:a16="http://schemas.microsoft.com/office/drawing/2014/main" id="{3D45FBB2-5B95-E41A-A01D-BDDFBF844079}"/>
              </a:ext>
            </a:extLst>
          </xdr:cNvPr>
          <xdr:cNvSpPr txBox="1"/>
        </xdr:nvSpPr>
        <xdr:spPr>
          <a:xfrm>
            <a:off x="10380104" y="792088"/>
            <a:ext cx="1351791" cy="229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100" b="0" i="1">
                <a:solidFill>
                  <a:schemeClr val="tx1">
                    <a:lumMod val="65000"/>
                    <a:lumOff val="35000"/>
                  </a:schemeClr>
                </a:solidFill>
                <a:latin typeface="Open Sans" panose="020B0606030504020204" pitchFamily="34" charset="0"/>
                <a:ea typeface="Open Sans" panose="020B0606030504020204" pitchFamily="34" charset="0"/>
                <a:cs typeface="Open Sans" panose="020B0606030504020204" pitchFamily="34" charset="0"/>
              </a:rPr>
              <a:t>08</a:t>
            </a:r>
          </a:p>
        </xdr:txBody>
      </xdr:sp>
    </xdr:grpSp>
    <xdr:clientData/>
  </xdr:twoCellAnchor>
  <xdr:twoCellAnchor editAs="oneCell">
    <xdr:from>
      <xdr:col>1</xdr:col>
      <xdr:colOff>37037</xdr:colOff>
      <xdr:row>0</xdr:row>
      <xdr:rowOff>61091</xdr:rowOff>
    </xdr:from>
    <xdr:to>
      <xdr:col>7</xdr:col>
      <xdr:colOff>0</xdr:colOff>
      <xdr:row>4</xdr:row>
      <xdr:rowOff>16586</xdr:rowOff>
    </xdr:to>
    <xdr:pic>
      <xdr:nvPicPr>
        <xdr:cNvPr id="17" name="Imagen 16">
          <a:extLst>
            <a:ext uri="{FF2B5EF4-FFF2-40B4-BE49-F238E27FC236}">
              <a16:creationId xmlns:a16="http://schemas.microsoft.com/office/drawing/2014/main" id="{04AB5570-D35E-E779-9078-4EA6C1017EB8}"/>
            </a:ext>
          </a:extLst>
        </xdr:cNvPr>
        <xdr:cNvPicPr>
          <a:picLocks noChangeAspect="1"/>
        </xdr:cNvPicPr>
      </xdr:nvPicPr>
      <xdr:blipFill>
        <a:blip xmlns:r="http://schemas.openxmlformats.org/officeDocument/2006/relationships" r:embed="rId1"/>
        <a:stretch>
          <a:fillRect/>
        </a:stretch>
      </xdr:blipFill>
      <xdr:spPr>
        <a:xfrm>
          <a:off x="247473" y="61091"/>
          <a:ext cx="13040856" cy="1232642"/>
        </a:xfrm>
        <a:prstGeom prst="rect">
          <a:avLst/>
        </a:prstGeom>
      </xdr:spPr>
    </xdr:pic>
    <xdr:clientData/>
  </xdr:twoCellAnchor>
  <xdr:twoCellAnchor>
    <xdr:from>
      <xdr:col>2</xdr:col>
      <xdr:colOff>1495203</xdr:colOff>
      <xdr:row>1</xdr:row>
      <xdr:rowOff>155059</xdr:rowOff>
    </xdr:from>
    <xdr:to>
      <xdr:col>4</xdr:col>
      <xdr:colOff>2083126</xdr:colOff>
      <xdr:row>3</xdr:row>
      <xdr:rowOff>431880</xdr:rowOff>
    </xdr:to>
    <xdr:sp macro="" textlink="">
      <xdr:nvSpPr>
        <xdr:cNvPr id="18" name="CuadroTexto 17">
          <a:extLst>
            <a:ext uri="{FF2B5EF4-FFF2-40B4-BE49-F238E27FC236}">
              <a16:creationId xmlns:a16="http://schemas.microsoft.com/office/drawing/2014/main" id="{79AFDE5C-D9C7-423C-9366-2E555DE312FF}"/>
            </a:ext>
          </a:extLst>
        </xdr:cNvPr>
        <xdr:cNvSpPr txBox="1"/>
      </xdr:nvSpPr>
      <xdr:spPr bwMode="auto">
        <a:xfrm>
          <a:off x="3621715" y="354419"/>
          <a:ext cx="5848824" cy="919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GENERALIDADES DE IMPLEMENTACIÓN</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34290</xdr:rowOff>
    </xdr:from>
    <xdr:to>
      <xdr:col>6</xdr:col>
      <xdr:colOff>765036</xdr:colOff>
      <xdr:row>4</xdr:row>
      <xdr:rowOff>89760</xdr:rowOff>
    </xdr:to>
    <xdr:pic>
      <xdr:nvPicPr>
        <xdr:cNvPr id="16" name="Imagen 15">
          <a:extLst>
            <a:ext uri="{FF2B5EF4-FFF2-40B4-BE49-F238E27FC236}">
              <a16:creationId xmlns:a16="http://schemas.microsoft.com/office/drawing/2014/main" id="{28F43FC4-2861-4915-B521-71A289BFF86A}"/>
            </a:ext>
          </a:extLst>
        </xdr:cNvPr>
        <xdr:cNvPicPr>
          <a:picLocks noChangeAspect="1"/>
        </xdr:cNvPicPr>
      </xdr:nvPicPr>
      <xdr:blipFill>
        <a:blip xmlns:r="http://schemas.openxmlformats.org/officeDocument/2006/relationships" r:embed="rId1"/>
        <a:stretch>
          <a:fillRect/>
        </a:stretch>
      </xdr:blipFill>
      <xdr:spPr>
        <a:xfrm>
          <a:off x="180975" y="34290"/>
          <a:ext cx="14004786" cy="1331820"/>
        </a:xfrm>
        <a:prstGeom prst="rect">
          <a:avLst/>
        </a:prstGeom>
      </xdr:spPr>
    </xdr:pic>
    <xdr:clientData/>
  </xdr:twoCellAnchor>
  <xdr:twoCellAnchor>
    <xdr:from>
      <xdr:col>2</xdr:col>
      <xdr:colOff>1381125</xdr:colOff>
      <xdr:row>1</xdr:row>
      <xdr:rowOff>190500</xdr:rowOff>
    </xdr:from>
    <xdr:to>
      <xdr:col>4</xdr:col>
      <xdr:colOff>2383377</xdr:colOff>
      <xdr:row>4</xdr:row>
      <xdr:rowOff>39315</xdr:rowOff>
    </xdr:to>
    <xdr:sp macro="" textlink="">
      <xdr:nvSpPr>
        <xdr:cNvPr id="17" name="CuadroTexto 16">
          <a:extLst>
            <a:ext uri="{FF2B5EF4-FFF2-40B4-BE49-F238E27FC236}">
              <a16:creationId xmlns:a16="http://schemas.microsoft.com/office/drawing/2014/main" id="{25C978DC-4A44-4DB5-90A9-096CD8AE1F9F}"/>
            </a:ext>
          </a:extLst>
        </xdr:cNvPr>
        <xdr:cNvSpPr txBox="1"/>
      </xdr:nvSpPr>
      <xdr:spPr bwMode="auto">
        <a:xfrm>
          <a:off x="3790950" y="390525"/>
          <a:ext cx="6250527" cy="925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ELEMENTOS DE PROTECCIÓN PERSONAL (EPP)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9923</xdr:colOff>
      <xdr:row>0</xdr:row>
      <xdr:rowOff>55722</xdr:rowOff>
    </xdr:from>
    <xdr:to>
      <xdr:col>6</xdr:col>
      <xdr:colOff>773213</xdr:colOff>
      <xdr:row>4</xdr:row>
      <xdr:rowOff>43040</xdr:rowOff>
    </xdr:to>
    <xdr:pic>
      <xdr:nvPicPr>
        <xdr:cNvPr id="2" name="Imagen 1">
          <a:extLst>
            <a:ext uri="{FF2B5EF4-FFF2-40B4-BE49-F238E27FC236}">
              <a16:creationId xmlns:a16="http://schemas.microsoft.com/office/drawing/2014/main" id="{4039D666-7FE2-4EEF-9320-7D7EFA9C3273}"/>
            </a:ext>
          </a:extLst>
        </xdr:cNvPr>
        <xdr:cNvPicPr>
          <a:picLocks noChangeAspect="1"/>
        </xdr:cNvPicPr>
      </xdr:nvPicPr>
      <xdr:blipFill>
        <a:blip xmlns:r="http://schemas.openxmlformats.org/officeDocument/2006/relationships" r:embed="rId1"/>
        <a:stretch>
          <a:fillRect/>
        </a:stretch>
      </xdr:blipFill>
      <xdr:spPr>
        <a:xfrm>
          <a:off x="168673" y="55722"/>
          <a:ext cx="13185478" cy="1257318"/>
        </a:xfrm>
        <a:prstGeom prst="rect">
          <a:avLst/>
        </a:prstGeom>
      </xdr:spPr>
    </xdr:pic>
    <xdr:clientData/>
  </xdr:twoCellAnchor>
  <xdr:twoCellAnchor>
    <xdr:from>
      <xdr:col>2</xdr:col>
      <xdr:colOff>1418829</xdr:colOff>
      <xdr:row>1</xdr:row>
      <xdr:rowOff>188515</xdr:rowOff>
    </xdr:from>
    <xdr:to>
      <xdr:col>4</xdr:col>
      <xdr:colOff>2115410</xdr:colOff>
      <xdr:row>4</xdr:row>
      <xdr:rowOff>67091</xdr:rowOff>
    </xdr:to>
    <xdr:sp macro="" textlink="">
      <xdr:nvSpPr>
        <xdr:cNvPr id="17" name="CuadroTexto 16">
          <a:extLst>
            <a:ext uri="{FF2B5EF4-FFF2-40B4-BE49-F238E27FC236}">
              <a16:creationId xmlns:a16="http://schemas.microsoft.com/office/drawing/2014/main" id="{7E34430E-EF7C-40D8-83DD-50186C415268}"/>
            </a:ext>
          </a:extLst>
        </xdr:cNvPr>
        <xdr:cNvSpPr txBox="1"/>
      </xdr:nvSpPr>
      <xdr:spPr bwMode="auto">
        <a:xfrm>
          <a:off x="3492501" y="386953"/>
          <a:ext cx="5925409" cy="950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IDENTIFICACIÓN DE PELIGROS Y EVALUACIÓN DE RIESGOS (IPER)</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20955</xdr:colOff>
      <xdr:row>0</xdr:row>
      <xdr:rowOff>100965</xdr:rowOff>
    </xdr:from>
    <xdr:to>
      <xdr:col>6</xdr:col>
      <xdr:colOff>780276</xdr:colOff>
      <xdr:row>4</xdr:row>
      <xdr:rowOff>66782</xdr:rowOff>
    </xdr:to>
    <xdr:pic>
      <xdr:nvPicPr>
        <xdr:cNvPr id="2" name="Imagen 1">
          <a:extLst>
            <a:ext uri="{FF2B5EF4-FFF2-40B4-BE49-F238E27FC236}">
              <a16:creationId xmlns:a16="http://schemas.microsoft.com/office/drawing/2014/main" id="{52E73A69-65EA-43E0-9C5E-C3D5B90D451A}"/>
            </a:ext>
          </a:extLst>
        </xdr:cNvPr>
        <xdr:cNvPicPr>
          <a:picLocks noChangeAspect="1"/>
        </xdr:cNvPicPr>
      </xdr:nvPicPr>
      <xdr:blipFill>
        <a:blip xmlns:r="http://schemas.openxmlformats.org/officeDocument/2006/relationships" r:embed="rId1"/>
        <a:stretch>
          <a:fillRect/>
        </a:stretch>
      </xdr:blipFill>
      <xdr:spPr>
        <a:xfrm>
          <a:off x="220980" y="100965"/>
          <a:ext cx="13046571" cy="1242167"/>
        </a:xfrm>
        <a:prstGeom prst="rect">
          <a:avLst/>
        </a:prstGeom>
      </xdr:spPr>
    </xdr:pic>
    <xdr:clientData/>
  </xdr:twoCellAnchor>
  <xdr:twoCellAnchor>
    <xdr:from>
      <xdr:col>2</xdr:col>
      <xdr:colOff>1409700</xdr:colOff>
      <xdr:row>2</xdr:row>
      <xdr:rowOff>38100</xdr:rowOff>
    </xdr:from>
    <xdr:to>
      <xdr:col>4</xdr:col>
      <xdr:colOff>1968645</xdr:colOff>
      <xdr:row>4</xdr:row>
      <xdr:rowOff>126829</xdr:rowOff>
    </xdr:to>
    <xdr:sp macro="" textlink="">
      <xdr:nvSpPr>
        <xdr:cNvPr id="16" name="CuadroTexto 15">
          <a:extLst>
            <a:ext uri="{FF2B5EF4-FFF2-40B4-BE49-F238E27FC236}">
              <a16:creationId xmlns:a16="http://schemas.microsoft.com/office/drawing/2014/main" id="{E8539EEC-E5EE-4509-87B9-BD4686D16B23}"/>
            </a:ext>
          </a:extLst>
        </xdr:cNvPr>
        <xdr:cNvSpPr txBox="1"/>
      </xdr:nvSpPr>
      <xdr:spPr bwMode="auto">
        <a:xfrm>
          <a:off x="3524250" y="438150"/>
          <a:ext cx="5826270" cy="965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baseline="0">
              <a:latin typeface="Open Sans" panose="020B0606030504020204" pitchFamily="34" charset="0"/>
              <a:ea typeface="Open Sans" panose="020B0606030504020204" pitchFamily="34" charset="0"/>
              <a:cs typeface="Open Sans" panose="020B0606030504020204" pitchFamily="34" charset="0"/>
            </a:rPr>
            <a:t>PROCEDIMIENTOS GENERALES Y ESPECÍFICOS DE SEGURIDAD</a:t>
          </a:r>
        </a:p>
        <a:p>
          <a:pPr algn="ctr"/>
          <a:endParaRPr lang="es-CL" sz="1600" b="1">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6</xdr:col>
      <xdr:colOff>759321</xdr:colOff>
      <xdr:row>4</xdr:row>
      <xdr:rowOff>59162</xdr:rowOff>
    </xdr:to>
    <xdr:pic>
      <xdr:nvPicPr>
        <xdr:cNvPr id="2" name="Imagen 1">
          <a:extLst>
            <a:ext uri="{FF2B5EF4-FFF2-40B4-BE49-F238E27FC236}">
              <a16:creationId xmlns:a16="http://schemas.microsoft.com/office/drawing/2014/main" id="{507464FD-A010-4E7E-9547-99BA23AD4F0C}"/>
            </a:ext>
          </a:extLst>
        </xdr:cNvPr>
        <xdr:cNvPicPr>
          <a:picLocks noChangeAspect="1"/>
        </xdr:cNvPicPr>
      </xdr:nvPicPr>
      <xdr:blipFill>
        <a:blip xmlns:r="http://schemas.openxmlformats.org/officeDocument/2006/relationships" r:embed="rId1"/>
        <a:stretch>
          <a:fillRect/>
        </a:stretch>
      </xdr:blipFill>
      <xdr:spPr>
        <a:xfrm>
          <a:off x="171450" y="95250"/>
          <a:ext cx="13046571" cy="1240262"/>
        </a:xfrm>
        <a:prstGeom prst="rect">
          <a:avLst/>
        </a:prstGeom>
      </xdr:spPr>
    </xdr:pic>
    <xdr:clientData/>
  </xdr:twoCellAnchor>
  <xdr:twoCellAnchor>
    <xdr:from>
      <xdr:col>2</xdr:col>
      <xdr:colOff>1390650</xdr:colOff>
      <xdr:row>1</xdr:row>
      <xdr:rowOff>171450</xdr:rowOff>
    </xdr:from>
    <xdr:to>
      <xdr:col>4</xdr:col>
      <xdr:colOff>1926357</xdr:colOff>
      <xdr:row>4</xdr:row>
      <xdr:rowOff>31518</xdr:rowOff>
    </xdr:to>
    <xdr:sp macro="" textlink="">
      <xdr:nvSpPr>
        <xdr:cNvPr id="16" name="CuadroTexto 15">
          <a:extLst>
            <a:ext uri="{FF2B5EF4-FFF2-40B4-BE49-F238E27FC236}">
              <a16:creationId xmlns:a16="http://schemas.microsoft.com/office/drawing/2014/main" id="{AF5EDD29-1AB7-41C9-94A8-122F75DB54EF}"/>
            </a:ext>
          </a:extLst>
        </xdr:cNvPr>
        <xdr:cNvSpPr txBox="1"/>
      </xdr:nvSpPr>
      <xdr:spPr bwMode="auto">
        <a:xfrm>
          <a:off x="3486150" y="371475"/>
          <a:ext cx="5822082" cy="936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INSTALACIÓN DE FAENA</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83820</xdr:rowOff>
    </xdr:from>
    <xdr:to>
      <xdr:col>7</xdr:col>
      <xdr:colOff>1131</xdr:colOff>
      <xdr:row>4</xdr:row>
      <xdr:rowOff>117296</xdr:rowOff>
    </xdr:to>
    <xdr:pic>
      <xdr:nvPicPr>
        <xdr:cNvPr id="2" name="Imagen 1">
          <a:extLst>
            <a:ext uri="{FF2B5EF4-FFF2-40B4-BE49-F238E27FC236}">
              <a16:creationId xmlns:a16="http://schemas.microsoft.com/office/drawing/2014/main" id="{0ACE8B71-4FB8-44CB-8CEA-9161CDB1BD5C}"/>
            </a:ext>
          </a:extLst>
        </xdr:cNvPr>
        <xdr:cNvPicPr>
          <a:picLocks noChangeAspect="1"/>
        </xdr:cNvPicPr>
      </xdr:nvPicPr>
      <xdr:blipFill>
        <a:blip xmlns:r="http://schemas.openxmlformats.org/officeDocument/2006/relationships" r:embed="rId1"/>
        <a:stretch>
          <a:fillRect/>
        </a:stretch>
      </xdr:blipFill>
      <xdr:spPr>
        <a:xfrm>
          <a:off x="209550" y="83820"/>
          <a:ext cx="13717131" cy="1309826"/>
        </a:xfrm>
        <a:prstGeom prst="rect">
          <a:avLst/>
        </a:prstGeom>
      </xdr:spPr>
    </xdr:pic>
    <xdr:clientData/>
  </xdr:twoCellAnchor>
  <xdr:twoCellAnchor>
    <xdr:from>
      <xdr:col>2</xdr:col>
      <xdr:colOff>1104900</xdr:colOff>
      <xdr:row>2</xdr:row>
      <xdr:rowOff>28575</xdr:rowOff>
    </xdr:from>
    <xdr:to>
      <xdr:col>4</xdr:col>
      <xdr:colOff>2026636</xdr:colOff>
      <xdr:row>4</xdr:row>
      <xdr:rowOff>113257</xdr:rowOff>
    </xdr:to>
    <xdr:sp macro="" textlink="">
      <xdr:nvSpPr>
        <xdr:cNvPr id="16" name="CuadroTexto 15">
          <a:extLst>
            <a:ext uri="{FF2B5EF4-FFF2-40B4-BE49-F238E27FC236}">
              <a16:creationId xmlns:a16="http://schemas.microsoft.com/office/drawing/2014/main" id="{924F5E2E-B922-48BD-80D0-68E7EE87B0F5}"/>
            </a:ext>
          </a:extLst>
        </xdr:cNvPr>
        <xdr:cNvSpPr txBox="1"/>
      </xdr:nvSpPr>
      <xdr:spPr bwMode="auto">
        <a:xfrm>
          <a:off x="3667125" y="428625"/>
          <a:ext cx="6141436" cy="960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VEHÍCULOS LIVIANOS Y MAQUINARIA PESADA</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9525</xdr:colOff>
      <xdr:row>0</xdr:row>
      <xdr:rowOff>53340</xdr:rowOff>
    </xdr:from>
    <xdr:to>
      <xdr:col>6</xdr:col>
      <xdr:colOff>742176</xdr:colOff>
      <xdr:row>4</xdr:row>
      <xdr:rowOff>114300</xdr:rowOff>
    </xdr:to>
    <xdr:pic>
      <xdr:nvPicPr>
        <xdr:cNvPr id="2" name="Imagen 1">
          <a:extLst>
            <a:ext uri="{FF2B5EF4-FFF2-40B4-BE49-F238E27FC236}">
              <a16:creationId xmlns:a16="http://schemas.microsoft.com/office/drawing/2014/main" id="{C25D9363-6994-4B6F-83BF-1C7733D7511C}"/>
            </a:ext>
          </a:extLst>
        </xdr:cNvPr>
        <xdr:cNvPicPr>
          <a:picLocks noChangeAspect="1"/>
        </xdr:cNvPicPr>
      </xdr:nvPicPr>
      <xdr:blipFill>
        <a:blip xmlns:r="http://schemas.openxmlformats.org/officeDocument/2006/relationships" r:embed="rId1"/>
        <a:stretch>
          <a:fillRect/>
        </a:stretch>
      </xdr:blipFill>
      <xdr:spPr>
        <a:xfrm>
          <a:off x="142875" y="53340"/>
          <a:ext cx="14201001" cy="1337310"/>
        </a:xfrm>
        <a:prstGeom prst="rect">
          <a:avLst/>
        </a:prstGeom>
      </xdr:spPr>
    </xdr:pic>
    <xdr:clientData/>
  </xdr:twoCellAnchor>
  <xdr:twoCellAnchor>
    <xdr:from>
      <xdr:col>2</xdr:col>
      <xdr:colOff>1162050</xdr:colOff>
      <xdr:row>2</xdr:row>
      <xdr:rowOff>180975</xdr:rowOff>
    </xdr:from>
    <xdr:to>
      <xdr:col>4</xdr:col>
      <xdr:colOff>1769744</xdr:colOff>
      <xdr:row>5</xdr:row>
      <xdr:rowOff>10561</xdr:rowOff>
    </xdr:to>
    <xdr:sp macro="" textlink="">
      <xdr:nvSpPr>
        <xdr:cNvPr id="16" name="CuadroTexto 15">
          <a:extLst>
            <a:ext uri="{FF2B5EF4-FFF2-40B4-BE49-F238E27FC236}">
              <a16:creationId xmlns:a16="http://schemas.microsoft.com/office/drawing/2014/main" id="{7971B524-BDA6-4CA8-A621-CE2B6B1F3061}"/>
            </a:ext>
          </a:extLst>
        </xdr:cNvPr>
        <xdr:cNvSpPr txBox="1"/>
      </xdr:nvSpPr>
      <xdr:spPr bwMode="auto">
        <a:xfrm>
          <a:off x="3771900" y="581025"/>
          <a:ext cx="6370319" cy="924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baseline="0">
              <a:latin typeface="Open Sans" panose="020B0606030504020204" pitchFamily="34" charset="0"/>
              <a:ea typeface="Open Sans" panose="020B0606030504020204" pitchFamily="34" charset="0"/>
              <a:cs typeface="Open Sans" panose="020B0606030504020204" pitchFamily="34" charset="0"/>
            </a:rPr>
            <a:t> REPORTE DE HALLAZGOS E INCIDENTES</a:t>
          </a:r>
        </a:p>
        <a:p>
          <a:pPr algn="ctr"/>
          <a:endParaRPr lang="es-CL" sz="1600" b="1">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28575</xdr:colOff>
      <xdr:row>0</xdr:row>
      <xdr:rowOff>72389</xdr:rowOff>
    </xdr:from>
    <xdr:to>
      <xdr:col>6</xdr:col>
      <xdr:colOff>774561</xdr:colOff>
      <xdr:row>4</xdr:row>
      <xdr:rowOff>67282</xdr:rowOff>
    </xdr:to>
    <xdr:pic>
      <xdr:nvPicPr>
        <xdr:cNvPr id="2" name="Imagen 1">
          <a:extLst>
            <a:ext uri="{FF2B5EF4-FFF2-40B4-BE49-F238E27FC236}">
              <a16:creationId xmlns:a16="http://schemas.microsoft.com/office/drawing/2014/main" id="{4E6C009F-595D-402F-90DF-A29F96741BB8}"/>
            </a:ext>
          </a:extLst>
        </xdr:cNvPr>
        <xdr:cNvPicPr>
          <a:picLocks noChangeAspect="1"/>
        </xdr:cNvPicPr>
      </xdr:nvPicPr>
      <xdr:blipFill>
        <a:blip xmlns:r="http://schemas.openxmlformats.org/officeDocument/2006/relationships" r:embed="rId1"/>
        <a:stretch>
          <a:fillRect/>
        </a:stretch>
      </xdr:blipFill>
      <xdr:spPr>
        <a:xfrm>
          <a:off x="161925" y="72389"/>
          <a:ext cx="13366611" cy="1271243"/>
        </a:xfrm>
        <a:prstGeom prst="rect">
          <a:avLst/>
        </a:prstGeom>
      </xdr:spPr>
    </xdr:pic>
    <xdr:clientData/>
  </xdr:twoCellAnchor>
  <xdr:twoCellAnchor>
    <xdr:from>
      <xdr:col>2</xdr:col>
      <xdr:colOff>1076325</xdr:colOff>
      <xdr:row>1</xdr:row>
      <xdr:rowOff>173355</xdr:rowOff>
    </xdr:from>
    <xdr:to>
      <xdr:col>4</xdr:col>
      <xdr:colOff>1854186</xdr:colOff>
      <xdr:row>4</xdr:row>
      <xdr:rowOff>35440</xdr:rowOff>
    </xdr:to>
    <xdr:sp macro="" textlink="">
      <xdr:nvSpPr>
        <xdr:cNvPr id="16" name="CuadroTexto 15">
          <a:extLst>
            <a:ext uri="{FF2B5EF4-FFF2-40B4-BE49-F238E27FC236}">
              <a16:creationId xmlns:a16="http://schemas.microsoft.com/office/drawing/2014/main" id="{6FDF4801-FD24-4388-9968-A664B9DCFD93}"/>
            </a:ext>
          </a:extLst>
        </xdr:cNvPr>
        <xdr:cNvSpPr txBox="1"/>
      </xdr:nvSpPr>
      <xdr:spPr bwMode="auto">
        <a:xfrm>
          <a:off x="3505200" y="373380"/>
          <a:ext cx="6026136" cy="938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COMITÉ PARITARIO DE HIGIENE Y SEGURIDAD</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186690</xdr:colOff>
      <xdr:row>0</xdr:row>
      <xdr:rowOff>169372</xdr:rowOff>
    </xdr:from>
    <xdr:to>
      <xdr:col>6</xdr:col>
      <xdr:colOff>741137</xdr:colOff>
      <xdr:row>2</xdr:row>
      <xdr:rowOff>513072</xdr:rowOff>
    </xdr:to>
    <xdr:pic>
      <xdr:nvPicPr>
        <xdr:cNvPr id="2" name="Imagen 1">
          <a:extLst>
            <a:ext uri="{FF2B5EF4-FFF2-40B4-BE49-F238E27FC236}">
              <a16:creationId xmlns:a16="http://schemas.microsoft.com/office/drawing/2014/main" id="{B01C2AF5-0485-4735-A0DB-C7B0B22A10CC}"/>
            </a:ext>
          </a:extLst>
        </xdr:cNvPr>
        <xdr:cNvPicPr>
          <a:picLocks noChangeAspect="1"/>
        </xdr:cNvPicPr>
      </xdr:nvPicPr>
      <xdr:blipFill>
        <a:blip xmlns:r="http://schemas.openxmlformats.org/officeDocument/2006/relationships" r:embed="rId1"/>
        <a:stretch>
          <a:fillRect/>
        </a:stretch>
      </xdr:blipFill>
      <xdr:spPr>
        <a:xfrm>
          <a:off x="186690" y="169372"/>
          <a:ext cx="12965695" cy="1242167"/>
        </a:xfrm>
        <a:prstGeom prst="rect">
          <a:avLst/>
        </a:prstGeom>
      </xdr:spPr>
    </xdr:pic>
    <xdr:clientData/>
  </xdr:twoCellAnchor>
  <xdr:twoCellAnchor>
    <xdr:from>
      <xdr:col>2</xdr:col>
      <xdr:colOff>1324841</xdr:colOff>
      <xdr:row>0</xdr:row>
      <xdr:rowOff>441613</xdr:rowOff>
    </xdr:from>
    <xdr:to>
      <xdr:col>4</xdr:col>
      <xdr:colOff>1859188</xdr:colOff>
      <xdr:row>2</xdr:row>
      <xdr:rowOff>641477</xdr:rowOff>
    </xdr:to>
    <xdr:sp macro="" textlink="">
      <xdr:nvSpPr>
        <xdr:cNvPr id="3" name="CuadroTexto 2">
          <a:extLst>
            <a:ext uri="{FF2B5EF4-FFF2-40B4-BE49-F238E27FC236}">
              <a16:creationId xmlns:a16="http://schemas.microsoft.com/office/drawing/2014/main" id="{48B369EB-6F6A-4836-A15E-7A16A41BD164}"/>
            </a:ext>
          </a:extLst>
        </xdr:cNvPr>
        <xdr:cNvSpPr txBox="1"/>
      </xdr:nvSpPr>
      <xdr:spPr bwMode="auto">
        <a:xfrm>
          <a:off x="3463636" y="441613"/>
          <a:ext cx="5799075" cy="1083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baseline="0">
              <a:latin typeface="Open Sans" panose="020B0606030504020204" pitchFamily="34" charset="0"/>
              <a:ea typeface="Open Sans" panose="020B0606030504020204" pitchFamily="34" charset="0"/>
              <a:cs typeface="Open Sans" panose="020B0606030504020204" pitchFamily="34" charset="0"/>
            </a:rPr>
            <a:t>SUBCONTRATOS</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6772</xdr:rowOff>
    </xdr:from>
    <xdr:to>
      <xdr:col>6</xdr:col>
      <xdr:colOff>1259701</xdr:colOff>
      <xdr:row>3</xdr:row>
      <xdr:rowOff>485115</xdr:rowOff>
    </xdr:to>
    <xdr:pic>
      <xdr:nvPicPr>
        <xdr:cNvPr id="2" name="Imagen 1">
          <a:extLst>
            <a:ext uri="{FF2B5EF4-FFF2-40B4-BE49-F238E27FC236}">
              <a16:creationId xmlns:a16="http://schemas.microsoft.com/office/drawing/2014/main" id="{2EC9BB89-B54F-4A1A-B424-9B29DC92EC5F}"/>
            </a:ext>
          </a:extLst>
        </xdr:cNvPr>
        <xdr:cNvPicPr>
          <a:picLocks noChangeAspect="1"/>
        </xdr:cNvPicPr>
      </xdr:nvPicPr>
      <xdr:blipFill>
        <a:blip xmlns:r="http://schemas.openxmlformats.org/officeDocument/2006/relationships" r:embed="rId1"/>
        <a:stretch>
          <a:fillRect/>
        </a:stretch>
      </xdr:blipFill>
      <xdr:spPr>
        <a:xfrm>
          <a:off x="243417" y="207855"/>
          <a:ext cx="14372451" cy="1346177"/>
        </a:xfrm>
        <a:prstGeom prst="rect">
          <a:avLst/>
        </a:prstGeom>
      </xdr:spPr>
    </xdr:pic>
    <xdr:clientData/>
  </xdr:twoCellAnchor>
  <xdr:twoCellAnchor>
    <xdr:from>
      <xdr:col>2</xdr:col>
      <xdr:colOff>1428750</xdr:colOff>
      <xdr:row>1</xdr:row>
      <xdr:rowOff>201084</xdr:rowOff>
    </xdr:from>
    <xdr:to>
      <xdr:col>4</xdr:col>
      <xdr:colOff>2131339</xdr:colOff>
      <xdr:row>3</xdr:row>
      <xdr:rowOff>651646</xdr:rowOff>
    </xdr:to>
    <xdr:sp macro="" textlink="">
      <xdr:nvSpPr>
        <xdr:cNvPr id="16" name="CuadroTexto 15">
          <a:extLst>
            <a:ext uri="{FF2B5EF4-FFF2-40B4-BE49-F238E27FC236}">
              <a16:creationId xmlns:a16="http://schemas.microsoft.com/office/drawing/2014/main" id="{9A2F027C-44CA-4A1C-AA1E-1CE6567CAA86}"/>
            </a:ext>
          </a:extLst>
        </xdr:cNvPr>
        <xdr:cNvSpPr txBox="1"/>
      </xdr:nvSpPr>
      <xdr:spPr bwMode="auto">
        <a:xfrm>
          <a:off x="4000500" y="402167"/>
          <a:ext cx="6407006" cy="1318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baseline="0">
              <a:latin typeface="Open Sans" panose="020B0606030504020204" pitchFamily="34" charset="0"/>
              <a:ea typeface="Open Sans" panose="020B0606030504020204" pitchFamily="34" charset="0"/>
              <a:cs typeface="Open Sans" panose="020B0606030504020204" pitchFamily="34" charset="0"/>
            </a:rPr>
            <a:t>FORMACIÓN Y DESARROLLO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438198</xdr:colOff>
      <xdr:row>0</xdr:row>
      <xdr:rowOff>103687</xdr:rowOff>
    </xdr:from>
    <xdr:to>
      <xdr:col>4</xdr:col>
      <xdr:colOff>1426636</xdr:colOff>
      <xdr:row>1</xdr:row>
      <xdr:rowOff>77512</xdr:rowOff>
    </xdr:to>
    <xdr:sp macro="" textlink="">
      <xdr:nvSpPr>
        <xdr:cNvPr id="20" name="CuadroTexto 19">
          <a:extLst>
            <a:ext uri="{FF2B5EF4-FFF2-40B4-BE49-F238E27FC236}">
              <a16:creationId xmlns:a16="http://schemas.microsoft.com/office/drawing/2014/main" id="{9CFC0FB6-D450-6F85-3297-7B3318BE24CA}"/>
            </a:ext>
          </a:extLst>
        </xdr:cNvPr>
        <xdr:cNvSpPr txBox="1"/>
      </xdr:nvSpPr>
      <xdr:spPr bwMode="auto">
        <a:xfrm>
          <a:off x="3105198" y="103687"/>
          <a:ext cx="6251001" cy="176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900" b="1" i="1">
              <a:solidFill>
                <a:schemeClr val="bg1"/>
              </a:solidFill>
              <a:latin typeface="Open Sans" panose="020B0606030504020204" pitchFamily="34" charset="0"/>
              <a:ea typeface="Open Sans" panose="020B0606030504020204" pitchFamily="34" charset="0"/>
              <a:cs typeface="Open Sans" panose="020B0606030504020204" pitchFamily="34" charset="0"/>
            </a:rPr>
            <a:t>SISTEMA DE GESTIÓN INTEGRADO</a:t>
          </a:r>
        </a:p>
      </xdr:txBody>
    </xdr:sp>
    <xdr:clientData/>
  </xdr:twoCellAnchor>
  <xdr:twoCellAnchor editAs="oneCell">
    <xdr:from>
      <xdr:col>1</xdr:col>
      <xdr:colOff>23812</xdr:colOff>
      <xdr:row>0</xdr:row>
      <xdr:rowOff>115253</xdr:rowOff>
    </xdr:from>
    <xdr:to>
      <xdr:col>6</xdr:col>
      <xdr:colOff>1199854</xdr:colOff>
      <xdr:row>4</xdr:row>
      <xdr:rowOff>130968</xdr:rowOff>
    </xdr:to>
    <xdr:pic>
      <xdr:nvPicPr>
        <xdr:cNvPr id="3" name="Imagen 2">
          <a:extLst>
            <a:ext uri="{FF2B5EF4-FFF2-40B4-BE49-F238E27FC236}">
              <a16:creationId xmlns:a16="http://schemas.microsoft.com/office/drawing/2014/main" id="{43A9E309-A093-47B0-BFBA-A464478F6BAC}"/>
            </a:ext>
          </a:extLst>
        </xdr:cNvPr>
        <xdr:cNvPicPr>
          <a:picLocks noChangeAspect="1"/>
        </xdr:cNvPicPr>
      </xdr:nvPicPr>
      <xdr:blipFill>
        <a:blip xmlns:r="http://schemas.openxmlformats.org/officeDocument/2006/relationships" r:embed="rId1"/>
        <a:stretch>
          <a:fillRect/>
        </a:stretch>
      </xdr:blipFill>
      <xdr:spPr>
        <a:xfrm>
          <a:off x="238125" y="115253"/>
          <a:ext cx="13891917" cy="1301590"/>
        </a:xfrm>
        <a:prstGeom prst="rect">
          <a:avLst/>
        </a:prstGeom>
      </xdr:spPr>
    </xdr:pic>
    <xdr:clientData/>
  </xdr:twoCellAnchor>
  <xdr:twoCellAnchor>
    <xdr:from>
      <xdr:col>2</xdr:col>
      <xdr:colOff>1061562</xdr:colOff>
      <xdr:row>2</xdr:row>
      <xdr:rowOff>-1</xdr:rowOff>
    </xdr:from>
    <xdr:to>
      <xdr:col>4</xdr:col>
      <xdr:colOff>2042380</xdr:colOff>
      <xdr:row>4</xdr:row>
      <xdr:rowOff>188071</xdr:rowOff>
    </xdr:to>
    <xdr:sp macro="" textlink="">
      <xdr:nvSpPr>
        <xdr:cNvPr id="4" name="CuadroTexto 3">
          <a:extLst>
            <a:ext uri="{FF2B5EF4-FFF2-40B4-BE49-F238E27FC236}">
              <a16:creationId xmlns:a16="http://schemas.microsoft.com/office/drawing/2014/main" id="{B0880DDE-1D9F-455A-8744-3E78FC6A7241}"/>
            </a:ext>
          </a:extLst>
        </xdr:cNvPr>
        <xdr:cNvSpPr txBox="1"/>
      </xdr:nvSpPr>
      <xdr:spPr bwMode="auto">
        <a:xfrm>
          <a:off x="3728562" y="404812"/>
          <a:ext cx="6243381" cy="1069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SALUD EN EL TRABAJO</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12881</xdr:colOff>
      <xdr:row>0</xdr:row>
      <xdr:rowOff>110306</xdr:rowOff>
    </xdr:from>
    <xdr:to>
      <xdr:col>6</xdr:col>
      <xdr:colOff>1192119</xdr:colOff>
      <xdr:row>2</xdr:row>
      <xdr:rowOff>60129</xdr:rowOff>
    </xdr:to>
    <xdr:pic>
      <xdr:nvPicPr>
        <xdr:cNvPr id="2" name="Imagen 1">
          <a:extLst>
            <a:ext uri="{FF2B5EF4-FFF2-40B4-BE49-F238E27FC236}">
              <a16:creationId xmlns:a16="http://schemas.microsoft.com/office/drawing/2014/main" id="{819622FB-35EF-46AE-8C85-E5BF3188BF59}"/>
            </a:ext>
          </a:extLst>
        </xdr:cNvPr>
        <xdr:cNvPicPr>
          <a:picLocks noChangeAspect="1"/>
        </xdr:cNvPicPr>
      </xdr:nvPicPr>
      <xdr:blipFill>
        <a:blip xmlns:r="http://schemas.openxmlformats.org/officeDocument/2006/relationships" r:embed="rId1"/>
        <a:stretch>
          <a:fillRect/>
        </a:stretch>
      </xdr:blipFill>
      <xdr:spPr>
        <a:xfrm>
          <a:off x="221524" y="509449"/>
          <a:ext cx="14129428" cy="1343467"/>
        </a:xfrm>
        <a:prstGeom prst="rect">
          <a:avLst/>
        </a:prstGeom>
      </xdr:spPr>
    </xdr:pic>
    <xdr:clientData/>
  </xdr:twoCellAnchor>
  <xdr:twoCellAnchor>
    <xdr:from>
      <xdr:col>2</xdr:col>
      <xdr:colOff>961571</xdr:colOff>
      <xdr:row>0</xdr:row>
      <xdr:rowOff>272143</xdr:rowOff>
    </xdr:from>
    <xdr:to>
      <xdr:col>4</xdr:col>
      <xdr:colOff>2067799</xdr:colOff>
      <xdr:row>2</xdr:row>
      <xdr:rowOff>181130</xdr:rowOff>
    </xdr:to>
    <xdr:sp macro="" textlink="">
      <xdr:nvSpPr>
        <xdr:cNvPr id="3" name="CuadroTexto 2">
          <a:extLst>
            <a:ext uri="{FF2B5EF4-FFF2-40B4-BE49-F238E27FC236}">
              <a16:creationId xmlns:a16="http://schemas.microsoft.com/office/drawing/2014/main" id="{F9BFCEC5-86F5-4ADE-8CF3-4509A103F783}"/>
            </a:ext>
          </a:extLst>
        </xdr:cNvPr>
        <xdr:cNvSpPr txBox="1"/>
      </xdr:nvSpPr>
      <xdr:spPr bwMode="auto">
        <a:xfrm>
          <a:off x="3855357" y="272143"/>
          <a:ext cx="6367656" cy="129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GUÍA TÉCNICA RADIACIÓN UV</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15716</xdr:colOff>
      <xdr:row>0</xdr:row>
      <xdr:rowOff>112871</xdr:rowOff>
    </xdr:from>
    <xdr:to>
      <xdr:col>6</xdr:col>
      <xdr:colOff>1206361</xdr:colOff>
      <xdr:row>4</xdr:row>
      <xdr:rowOff>60257</xdr:rowOff>
    </xdr:to>
    <xdr:pic>
      <xdr:nvPicPr>
        <xdr:cNvPr id="2" name="Imagen 1">
          <a:extLst>
            <a:ext uri="{FF2B5EF4-FFF2-40B4-BE49-F238E27FC236}">
              <a16:creationId xmlns:a16="http://schemas.microsoft.com/office/drawing/2014/main" id="{96DA268E-9697-4B03-B814-979874E68599}"/>
            </a:ext>
          </a:extLst>
        </xdr:cNvPr>
        <xdr:cNvPicPr>
          <a:picLocks noChangeAspect="1"/>
        </xdr:cNvPicPr>
      </xdr:nvPicPr>
      <xdr:blipFill>
        <a:blip xmlns:r="http://schemas.openxmlformats.org/officeDocument/2006/relationships" r:embed="rId1"/>
        <a:stretch>
          <a:fillRect/>
        </a:stretch>
      </xdr:blipFill>
      <xdr:spPr>
        <a:xfrm>
          <a:off x="230029" y="112871"/>
          <a:ext cx="13370738" cy="1233261"/>
        </a:xfrm>
        <a:prstGeom prst="rect">
          <a:avLst/>
        </a:prstGeom>
      </xdr:spPr>
    </xdr:pic>
    <xdr:clientData/>
  </xdr:twoCellAnchor>
  <xdr:twoCellAnchor>
    <xdr:from>
      <xdr:col>2</xdr:col>
      <xdr:colOff>1357312</xdr:colOff>
      <xdr:row>2</xdr:row>
      <xdr:rowOff>107156</xdr:rowOff>
    </xdr:from>
    <xdr:to>
      <xdr:col>4</xdr:col>
      <xdr:colOff>2111145</xdr:colOff>
      <xdr:row>4</xdr:row>
      <xdr:rowOff>167305</xdr:rowOff>
    </xdr:to>
    <xdr:sp macro="" textlink="">
      <xdr:nvSpPr>
        <xdr:cNvPr id="3" name="CuadroTexto 2">
          <a:extLst>
            <a:ext uri="{FF2B5EF4-FFF2-40B4-BE49-F238E27FC236}">
              <a16:creationId xmlns:a16="http://schemas.microsoft.com/office/drawing/2014/main" id="{776FB006-556A-429D-AF6F-5D378E3CB285}"/>
            </a:ext>
          </a:extLst>
        </xdr:cNvPr>
        <xdr:cNvSpPr txBox="1"/>
      </xdr:nvSpPr>
      <xdr:spPr bwMode="auto">
        <a:xfrm>
          <a:off x="3488531" y="511969"/>
          <a:ext cx="6016395" cy="941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PROTOCOLO PREXOR</a:t>
          </a:r>
        </a:p>
        <a:p>
          <a:pPr algn="ctr"/>
          <a:endParaRPr lang="es-CL" sz="1600" b="1">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17356</xdr:colOff>
      <xdr:row>0</xdr:row>
      <xdr:rowOff>0</xdr:rowOff>
    </xdr:from>
    <xdr:to>
      <xdr:col>7</xdr:col>
      <xdr:colOff>0</xdr:colOff>
      <xdr:row>2</xdr:row>
      <xdr:rowOff>427121</xdr:rowOff>
    </xdr:to>
    <xdr:pic>
      <xdr:nvPicPr>
        <xdr:cNvPr id="2" name="Imagen 1">
          <a:extLst>
            <a:ext uri="{FF2B5EF4-FFF2-40B4-BE49-F238E27FC236}">
              <a16:creationId xmlns:a16="http://schemas.microsoft.com/office/drawing/2014/main" id="{51724C9A-CD0A-40CA-8D0B-5596421B2AD8}"/>
            </a:ext>
          </a:extLst>
        </xdr:cNvPr>
        <xdr:cNvPicPr>
          <a:picLocks noChangeAspect="1"/>
        </xdr:cNvPicPr>
      </xdr:nvPicPr>
      <xdr:blipFill>
        <a:blip xmlns:r="http://schemas.openxmlformats.org/officeDocument/2006/relationships" r:embed="rId1"/>
        <a:stretch>
          <a:fillRect/>
        </a:stretch>
      </xdr:blipFill>
      <xdr:spPr>
        <a:xfrm>
          <a:off x="229023" y="369358"/>
          <a:ext cx="13772727" cy="1294954"/>
        </a:xfrm>
        <a:prstGeom prst="rect">
          <a:avLst/>
        </a:prstGeom>
      </xdr:spPr>
    </xdr:pic>
    <xdr:clientData/>
  </xdr:twoCellAnchor>
  <xdr:twoCellAnchor>
    <xdr:from>
      <xdr:col>2</xdr:col>
      <xdr:colOff>1132417</xdr:colOff>
      <xdr:row>0</xdr:row>
      <xdr:rowOff>254000</xdr:rowOff>
    </xdr:from>
    <xdr:to>
      <xdr:col>4</xdr:col>
      <xdr:colOff>2036420</xdr:colOff>
      <xdr:row>2</xdr:row>
      <xdr:rowOff>456612</xdr:rowOff>
    </xdr:to>
    <xdr:sp macro="" textlink="">
      <xdr:nvSpPr>
        <xdr:cNvPr id="3" name="CuadroTexto 2">
          <a:extLst>
            <a:ext uri="{FF2B5EF4-FFF2-40B4-BE49-F238E27FC236}">
              <a16:creationId xmlns:a16="http://schemas.microsoft.com/office/drawing/2014/main" id="{C4EE0C14-6358-469D-9061-1C3084E10976}"/>
            </a:ext>
          </a:extLst>
        </xdr:cNvPr>
        <xdr:cNvSpPr txBox="1"/>
      </xdr:nvSpPr>
      <xdr:spPr bwMode="auto">
        <a:xfrm>
          <a:off x="3630084" y="254000"/>
          <a:ext cx="6174503" cy="1070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PROTOCOLO TMERT EESS</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3812</xdr:colOff>
      <xdr:row>0</xdr:row>
      <xdr:rowOff>154080</xdr:rowOff>
    </xdr:from>
    <xdr:to>
      <xdr:col>6</xdr:col>
      <xdr:colOff>1218640</xdr:colOff>
      <xdr:row>4</xdr:row>
      <xdr:rowOff>162602</xdr:rowOff>
    </xdr:to>
    <xdr:pic>
      <xdr:nvPicPr>
        <xdr:cNvPr id="2" name="Imagen 1">
          <a:extLst>
            <a:ext uri="{FF2B5EF4-FFF2-40B4-BE49-F238E27FC236}">
              <a16:creationId xmlns:a16="http://schemas.microsoft.com/office/drawing/2014/main" id="{37C1C5DF-8D3B-4007-8F16-913D97CA6F94}"/>
            </a:ext>
          </a:extLst>
        </xdr:cNvPr>
        <xdr:cNvPicPr>
          <a:picLocks noChangeAspect="1"/>
        </xdr:cNvPicPr>
      </xdr:nvPicPr>
      <xdr:blipFill>
        <a:blip xmlns:r="http://schemas.openxmlformats.org/officeDocument/2006/relationships" r:embed="rId1"/>
        <a:stretch>
          <a:fillRect/>
        </a:stretch>
      </xdr:blipFill>
      <xdr:spPr>
        <a:xfrm>
          <a:off x="213922" y="154080"/>
          <a:ext cx="13401225" cy="1269184"/>
        </a:xfrm>
        <a:prstGeom prst="rect">
          <a:avLst/>
        </a:prstGeom>
      </xdr:spPr>
    </xdr:pic>
    <xdr:clientData/>
  </xdr:twoCellAnchor>
  <xdr:twoCellAnchor>
    <xdr:from>
      <xdr:col>2</xdr:col>
      <xdr:colOff>1330698</xdr:colOff>
      <xdr:row>2</xdr:row>
      <xdr:rowOff>98052</xdr:rowOff>
    </xdr:from>
    <xdr:to>
      <xdr:col>4</xdr:col>
      <xdr:colOff>2097709</xdr:colOff>
      <xdr:row>4</xdr:row>
      <xdr:rowOff>152499</xdr:rowOff>
    </xdr:to>
    <xdr:sp macro="" textlink="">
      <xdr:nvSpPr>
        <xdr:cNvPr id="3" name="CuadroTexto 2">
          <a:extLst>
            <a:ext uri="{FF2B5EF4-FFF2-40B4-BE49-F238E27FC236}">
              <a16:creationId xmlns:a16="http://schemas.microsoft.com/office/drawing/2014/main" id="{8549F486-A11A-4258-9CFE-EB480384C0B8}"/>
            </a:ext>
          </a:extLst>
        </xdr:cNvPr>
        <xdr:cNvSpPr txBox="1"/>
      </xdr:nvSpPr>
      <xdr:spPr bwMode="auto">
        <a:xfrm>
          <a:off x="3459816" y="490258"/>
          <a:ext cx="6033775" cy="92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PROTOCOLO DE VIGILANCIA DE RIESGOS PSICOSOCIALES</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12526</xdr:colOff>
      <xdr:row>0</xdr:row>
      <xdr:rowOff>138604</xdr:rowOff>
    </xdr:from>
    <xdr:to>
      <xdr:col>6</xdr:col>
      <xdr:colOff>1210368</xdr:colOff>
      <xdr:row>3</xdr:row>
      <xdr:rowOff>400280</xdr:rowOff>
    </xdr:to>
    <xdr:pic>
      <xdr:nvPicPr>
        <xdr:cNvPr id="2" name="Imagen 1">
          <a:extLst>
            <a:ext uri="{FF2B5EF4-FFF2-40B4-BE49-F238E27FC236}">
              <a16:creationId xmlns:a16="http://schemas.microsoft.com/office/drawing/2014/main" id="{6C23038A-9478-4E45-BE09-5BAEEF51164F}"/>
            </a:ext>
          </a:extLst>
        </xdr:cNvPr>
        <xdr:cNvPicPr>
          <a:picLocks noChangeAspect="1"/>
        </xdr:cNvPicPr>
      </xdr:nvPicPr>
      <xdr:blipFill>
        <a:blip xmlns:r="http://schemas.openxmlformats.org/officeDocument/2006/relationships" r:embed="rId1"/>
        <a:stretch>
          <a:fillRect/>
        </a:stretch>
      </xdr:blipFill>
      <xdr:spPr>
        <a:xfrm>
          <a:off x="171276" y="340649"/>
          <a:ext cx="13957474" cy="1333441"/>
        </a:xfrm>
        <a:prstGeom prst="rect">
          <a:avLst/>
        </a:prstGeom>
      </xdr:spPr>
    </xdr:pic>
    <xdr:clientData/>
  </xdr:twoCellAnchor>
  <xdr:twoCellAnchor>
    <xdr:from>
      <xdr:col>2</xdr:col>
      <xdr:colOff>1154545</xdr:colOff>
      <xdr:row>1</xdr:row>
      <xdr:rowOff>230910</xdr:rowOff>
    </xdr:from>
    <xdr:to>
      <xdr:col>4</xdr:col>
      <xdr:colOff>2149995</xdr:colOff>
      <xdr:row>3</xdr:row>
      <xdr:rowOff>440608</xdr:rowOff>
    </xdr:to>
    <xdr:sp macro="" textlink="">
      <xdr:nvSpPr>
        <xdr:cNvPr id="3" name="CuadroTexto 2">
          <a:extLst>
            <a:ext uri="{FF2B5EF4-FFF2-40B4-BE49-F238E27FC236}">
              <a16:creationId xmlns:a16="http://schemas.microsoft.com/office/drawing/2014/main" id="{4AC1BCC9-E5C7-4A17-AD3B-C94D71E2E1F3}"/>
            </a:ext>
          </a:extLst>
        </xdr:cNvPr>
        <xdr:cNvSpPr txBox="1"/>
      </xdr:nvSpPr>
      <xdr:spPr bwMode="auto">
        <a:xfrm>
          <a:off x="3795568" y="432955"/>
          <a:ext cx="6263063" cy="1075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a:t>
          </a:r>
          <a:r>
            <a:rPr lang="es-CL" sz="16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GUÍA TÉCNICA MMC</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199719</xdr:colOff>
      <xdr:row>0</xdr:row>
      <xdr:rowOff>47995</xdr:rowOff>
    </xdr:from>
    <xdr:to>
      <xdr:col>7</xdr:col>
      <xdr:colOff>0</xdr:colOff>
      <xdr:row>2</xdr:row>
      <xdr:rowOff>706372</xdr:rowOff>
    </xdr:to>
    <xdr:pic>
      <xdr:nvPicPr>
        <xdr:cNvPr id="2" name="Imagen 1">
          <a:extLst>
            <a:ext uri="{FF2B5EF4-FFF2-40B4-BE49-F238E27FC236}">
              <a16:creationId xmlns:a16="http://schemas.microsoft.com/office/drawing/2014/main" id="{AE5FC323-1364-45D4-84FA-C2D02FB3E860}"/>
            </a:ext>
          </a:extLst>
        </xdr:cNvPr>
        <xdr:cNvPicPr>
          <a:picLocks noChangeAspect="1"/>
        </xdr:cNvPicPr>
      </xdr:nvPicPr>
      <xdr:blipFill>
        <a:blip xmlns:r="http://schemas.openxmlformats.org/officeDocument/2006/relationships" r:embed="rId1"/>
        <a:stretch>
          <a:fillRect/>
        </a:stretch>
      </xdr:blipFill>
      <xdr:spPr>
        <a:xfrm>
          <a:off x="199719" y="447430"/>
          <a:ext cx="13811250" cy="1303619"/>
        </a:xfrm>
        <a:prstGeom prst="rect">
          <a:avLst/>
        </a:prstGeom>
      </xdr:spPr>
    </xdr:pic>
    <xdr:clientData/>
  </xdr:twoCellAnchor>
  <xdr:twoCellAnchor>
    <xdr:from>
      <xdr:col>2</xdr:col>
      <xdr:colOff>1229033</xdr:colOff>
      <xdr:row>1</xdr:row>
      <xdr:rowOff>122903</xdr:rowOff>
    </xdr:from>
    <xdr:to>
      <xdr:col>4</xdr:col>
      <xdr:colOff>2132845</xdr:colOff>
      <xdr:row>2</xdr:row>
      <xdr:rowOff>782002</xdr:rowOff>
    </xdr:to>
    <xdr:sp macro="" textlink="">
      <xdr:nvSpPr>
        <xdr:cNvPr id="3" name="CuadroTexto 2">
          <a:extLst>
            <a:ext uri="{FF2B5EF4-FFF2-40B4-BE49-F238E27FC236}">
              <a16:creationId xmlns:a16="http://schemas.microsoft.com/office/drawing/2014/main" id="{A0AA3163-4A7D-4EB6-BC20-0B958917752D}"/>
            </a:ext>
          </a:extLst>
        </xdr:cNvPr>
        <xdr:cNvSpPr txBox="1"/>
      </xdr:nvSpPr>
      <xdr:spPr bwMode="auto">
        <a:xfrm>
          <a:off x="3748549" y="322621"/>
          <a:ext cx="6173288" cy="1104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latin typeface="Open Sans" panose="020B0606030504020204" pitchFamily="34" charset="0"/>
              <a:ea typeface="Open Sans" panose="020B0606030504020204" pitchFamily="34" charset="0"/>
              <a:cs typeface="Open Sans" panose="020B0606030504020204" pitchFamily="34" charset="0"/>
            </a:rPr>
            <a:t>VERIFICACIÓN DE CUMPLIMIENTO</a:t>
          </a:r>
        </a:p>
        <a:p>
          <a:pPr algn="ctr"/>
          <a:r>
            <a:rPr lang="es-CL" sz="1600" b="1">
              <a:latin typeface="Open Sans" panose="020B0606030504020204" pitchFamily="34" charset="0"/>
              <a:ea typeface="Open Sans" panose="020B0606030504020204" pitchFamily="34" charset="0"/>
              <a:cs typeface="Open Sans" panose="020B0606030504020204" pitchFamily="34" charset="0"/>
            </a:rPr>
            <a:t>PROTOCOLO PLANESI</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43561</xdr:colOff>
      <xdr:row>0</xdr:row>
      <xdr:rowOff>163287</xdr:rowOff>
    </xdr:from>
    <xdr:to>
      <xdr:col>7</xdr:col>
      <xdr:colOff>0</xdr:colOff>
      <xdr:row>5</xdr:row>
      <xdr:rowOff>125048</xdr:rowOff>
    </xdr:to>
    <xdr:pic>
      <xdr:nvPicPr>
        <xdr:cNvPr id="2" name="Imagen 1">
          <a:extLst>
            <a:ext uri="{FF2B5EF4-FFF2-40B4-BE49-F238E27FC236}">
              <a16:creationId xmlns:a16="http://schemas.microsoft.com/office/drawing/2014/main" id="{C2A44DDF-BE0D-4040-A25E-6452D7B626EB}"/>
            </a:ext>
          </a:extLst>
        </xdr:cNvPr>
        <xdr:cNvPicPr>
          <a:picLocks noChangeAspect="1"/>
        </xdr:cNvPicPr>
      </xdr:nvPicPr>
      <xdr:blipFill>
        <a:blip xmlns:r="http://schemas.openxmlformats.org/officeDocument/2006/relationships" r:embed="rId1"/>
        <a:stretch>
          <a:fillRect/>
        </a:stretch>
      </xdr:blipFill>
      <xdr:spPr>
        <a:xfrm>
          <a:off x="138811" y="163287"/>
          <a:ext cx="15318903" cy="1444940"/>
        </a:xfrm>
        <a:prstGeom prst="rect">
          <a:avLst/>
        </a:prstGeom>
      </xdr:spPr>
    </xdr:pic>
    <xdr:clientData/>
  </xdr:twoCellAnchor>
  <xdr:twoCellAnchor>
    <xdr:from>
      <xdr:col>2</xdr:col>
      <xdr:colOff>1211036</xdr:colOff>
      <xdr:row>2</xdr:row>
      <xdr:rowOff>91441</xdr:rowOff>
    </xdr:from>
    <xdr:to>
      <xdr:col>4</xdr:col>
      <xdr:colOff>2297031</xdr:colOff>
      <xdr:row>5</xdr:row>
      <xdr:rowOff>102206</xdr:rowOff>
    </xdr:to>
    <xdr:sp macro="" textlink="">
      <xdr:nvSpPr>
        <xdr:cNvPr id="3" name="CuadroTexto 2">
          <a:extLst>
            <a:ext uri="{FF2B5EF4-FFF2-40B4-BE49-F238E27FC236}">
              <a16:creationId xmlns:a16="http://schemas.microsoft.com/office/drawing/2014/main" id="{C4F68794-36C5-4488-AFED-EBD9171B123A}"/>
            </a:ext>
          </a:extLst>
        </xdr:cNvPr>
        <xdr:cNvSpPr txBox="1"/>
      </xdr:nvSpPr>
      <xdr:spPr bwMode="auto">
        <a:xfrm>
          <a:off x="3959679" y="499655"/>
          <a:ext cx="6869031" cy="1085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s-CL" sz="1800" b="1">
              <a:solidFill>
                <a:schemeClr val="dk1"/>
              </a:solidFill>
              <a:effectLst/>
              <a:latin typeface="+mn-lt"/>
              <a:ea typeface="+mn-ea"/>
              <a:cs typeface="+mn-cs"/>
            </a:rPr>
            <a:t>VERIFICACIÓN</a:t>
          </a:r>
          <a:r>
            <a:rPr lang="es-CL" sz="1800" b="1" baseline="0">
              <a:solidFill>
                <a:schemeClr val="dk1"/>
              </a:solidFill>
              <a:effectLst/>
              <a:latin typeface="+mn-lt"/>
              <a:ea typeface="+mn-ea"/>
              <a:cs typeface="+mn-cs"/>
            </a:rPr>
            <a:t> DE CUMPLIMIENTO</a:t>
          </a:r>
        </a:p>
        <a:p>
          <a:pPr marL="0" marR="0" lvl="0" indent="0" algn="ctr" defTabSz="914400" eaLnBrk="1" fontAlgn="auto" latinLnBrk="0" hangingPunct="1">
            <a:lnSpc>
              <a:spcPct val="100000"/>
            </a:lnSpc>
            <a:spcBef>
              <a:spcPts val="0"/>
            </a:spcBef>
            <a:spcAft>
              <a:spcPts val="0"/>
            </a:spcAft>
            <a:buClrTx/>
            <a:buSzTx/>
            <a:buFontTx/>
            <a:buNone/>
            <a:tabLst/>
            <a:defRPr/>
          </a:pPr>
          <a:r>
            <a:rPr lang="es-CL" sz="1800" b="1">
              <a:effectLst/>
            </a:rPr>
            <a:t>DEMOLICIÓN Y DESMANTELAMIENTO (EXCLUSIVO</a:t>
          </a:r>
          <a:r>
            <a:rPr lang="es-CL" sz="1800">
              <a:effectLst/>
            </a:rPr>
            <a:t>)</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xdr:colOff>
      <xdr:row>0</xdr:row>
      <xdr:rowOff>40839</xdr:rowOff>
    </xdr:from>
    <xdr:to>
      <xdr:col>6</xdr:col>
      <xdr:colOff>1140322</xdr:colOff>
      <xdr:row>2</xdr:row>
      <xdr:rowOff>501481</xdr:rowOff>
    </xdr:to>
    <xdr:pic>
      <xdr:nvPicPr>
        <xdr:cNvPr id="2" name="Imagen 1">
          <a:extLst>
            <a:ext uri="{FF2B5EF4-FFF2-40B4-BE49-F238E27FC236}">
              <a16:creationId xmlns:a16="http://schemas.microsoft.com/office/drawing/2014/main" id="{A8472167-F258-4F10-98E8-E2656C3B84BC}"/>
            </a:ext>
          </a:extLst>
        </xdr:cNvPr>
        <xdr:cNvPicPr>
          <a:picLocks noChangeAspect="1"/>
        </xdr:cNvPicPr>
      </xdr:nvPicPr>
      <xdr:blipFill>
        <a:blip xmlns:r="http://schemas.openxmlformats.org/officeDocument/2006/relationships" r:embed="rId1"/>
        <a:stretch>
          <a:fillRect/>
        </a:stretch>
      </xdr:blipFill>
      <xdr:spPr>
        <a:xfrm>
          <a:off x="238126" y="472441"/>
          <a:ext cx="14058602" cy="1321940"/>
        </a:xfrm>
        <a:prstGeom prst="rect">
          <a:avLst/>
        </a:prstGeom>
      </xdr:spPr>
    </xdr:pic>
    <xdr:clientData/>
  </xdr:twoCellAnchor>
  <xdr:twoCellAnchor>
    <xdr:from>
      <xdr:col>2</xdr:col>
      <xdr:colOff>1473398</xdr:colOff>
      <xdr:row>1</xdr:row>
      <xdr:rowOff>59531</xdr:rowOff>
    </xdr:from>
    <xdr:to>
      <xdr:col>4</xdr:col>
      <xdr:colOff>2538912</xdr:colOff>
      <xdr:row>3</xdr:row>
      <xdr:rowOff>171266</xdr:rowOff>
    </xdr:to>
    <xdr:sp macro="" textlink="">
      <xdr:nvSpPr>
        <xdr:cNvPr id="3" name="CuadroTexto 2">
          <a:extLst>
            <a:ext uri="{FF2B5EF4-FFF2-40B4-BE49-F238E27FC236}">
              <a16:creationId xmlns:a16="http://schemas.microsoft.com/office/drawing/2014/main" id="{BABFF2C3-B631-408B-81B4-E7DC14193756}"/>
            </a:ext>
          </a:extLst>
        </xdr:cNvPr>
        <xdr:cNvSpPr txBox="1"/>
      </xdr:nvSpPr>
      <xdr:spPr bwMode="auto">
        <a:xfrm>
          <a:off x="3631406" y="491133"/>
          <a:ext cx="6304264" cy="1168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s-CL" sz="1800" b="1">
              <a:solidFill>
                <a:schemeClr val="dk1"/>
              </a:solidFill>
              <a:effectLst/>
              <a:latin typeface="+mn-lt"/>
              <a:ea typeface="+mn-ea"/>
              <a:cs typeface="+mn-cs"/>
            </a:rPr>
            <a:t>VERIFICACIÓN</a:t>
          </a:r>
          <a:r>
            <a:rPr lang="es-CL" sz="1800" b="1" baseline="0">
              <a:solidFill>
                <a:schemeClr val="dk1"/>
              </a:solidFill>
              <a:effectLst/>
              <a:latin typeface="+mn-lt"/>
              <a:ea typeface="+mn-ea"/>
              <a:cs typeface="+mn-cs"/>
            </a:rPr>
            <a:t> DE CUMPLIMIENTO</a:t>
          </a:r>
        </a:p>
        <a:p>
          <a:pPr marL="0" marR="0" lvl="0" indent="0" algn="ctr" defTabSz="914400" eaLnBrk="1" fontAlgn="auto" latinLnBrk="0" hangingPunct="1">
            <a:lnSpc>
              <a:spcPct val="100000"/>
            </a:lnSpc>
            <a:spcBef>
              <a:spcPts val="0"/>
            </a:spcBef>
            <a:spcAft>
              <a:spcPts val="0"/>
            </a:spcAft>
            <a:buClrTx/>
            <a:buSzTx/>
            <a:buFontTx/>
            <a:buNone/>
            <a:tabLst/>
            <a:defRPr/>
          </a:pPr>
          <a:r>
            <a:rPr lang="es-CL" sz="1800" b="1">
              <a:effectLst/>
            </a:rPr>
            <a:t>PILARES DE SEGURIDAD</a:t>
          </a:r>
        </a:p>
        <a:p>
          <a:pPr algn="ctr"/>
          <a:endParaRPr lang="es-CL" sz="1600" b="1">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3</xdr:col>
      <xdr:colOff>171270</xdr:colOff>
      <xdr:row>13</xdr:row>
      <xdr:rowOff>71744</xdr:rowOff>
    </xdr:from>
    <xdr:to>
      <xdr:col>5</xdr:col>
      <xdr:colOff>2042254</xdr:colOff>
      <xdr:row>34</xdr:row>
      <xdr:rowOff>358913</xdr:rowOff>
    </xdr:to>
    <xdr:graphicFrame macro="">
      <xdr:nvGraphicFramePr>
        <xdr:cNvPr id="2" name="Gráfico 1">
          <a:extLst>
            <a:ext uri="{FF2B5EF4-FFF2-40B4-BE49-F238E27FC236}">
              <a16:creationId xmlns:a16="http://schemas.microsoft.com/office/drawing/2014/main" id="{060F8D36-9ECB-4C34-BCFE-69ECF80CC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17615</xdr:colOff>
      <xdr:row>0</xdr:row>
      <xdr:rowOff>106625</xdr:rowOff>
    </xdr:from>
    <xdr:to>
      <xdr:col>5</xdr:col>
      <xdr:colOff>2151600</xdr:colOff>
      <xdr:row>7</xdr:row>
      <xdr:rowOff>98781</xdr:rowOff>
    </xdr:to>
    <xdr:pic>
      <xdr:nvPicPr>
        <xdr:cNvPr id="3" name="Imagen 2">
          <a:extLst>
            <a:ext uri="{FF2B5EF4-FFF2-40B4-BE49-F238E27FC236}">
              <a16:creationId xmlns:a16="http://schemas.microsoft.com/office/drawing/2014/main" id="{354F6FA8-9D98-4662-A4CD-84DA303F7896}"/>
            </a:ext>
          </a:extLst>
        </xdr:cNvPr>
        <xdr:cNvPicPr>
          <a:picLocks noChangeAspect="1"/>
        </xdr:cNvPicPr>
      </xdr:nvPicPr>
      <xdr:blipFill>
        <a:blip xmlns:r="http://schemas.openxmlformats.org/officeDocument/2006/relationships" r:embed="rId2"/>
        <a:stretch>
          <a:fillRect/>
        </a:stretch>
      </xdr:blipFill>
      <xdr:spPr>
        <a:xfrm>
          <a:off x="183267" y="106625"/>
          <a:ext cx="14281811" cy="1344982"/>
        </a:xfrm>
        <a:prstGeom prst="rect">
          <a:avLst/>
        </a:prstGeom>
      </xdr:spPr>
    </xdr:pic>
    <xdr:clientData/>
  </xdr:twoCellAnchor>
  <xdr:twoCellAnchor>
    <xdr:from>
      <xdr:col>1</xdr:col>
      <xdr:colOff>3372071</xdr:colOff>
      <xdr:row>2</xdr:row>
      <xdr:rowOff>84731</xdr:rowOff>
    </xdr:from>
    <xdr:to>
      <xdr:col>4</xdr:col>
      <xdr:colOff>478635</xdr:colOff>
      <xdr:row>7</xdr:row>
      <xdr:rowOff>123256</xdr:rowOff>
    </xdr:to>
    <xdr:sp macro="" textlink="">
      <xdr:nvSpPr>
        <xdr:cNvPr id="17" name="CuadroTexto 16">
          <a:extLst>
            <a:ext uri="{FF2B5EF4-FFF2-40B4-BE49-F238E27FC236}">
              <a16:creationId xmlns:a16="http://schemas.microsoft.com/office/drawing/2014/main" id="{9E2DF5BE-79EF-4425-B133-85FEA5517EE2}"/>
            </a:ext>
          </a:extLst>
        </xdr:cNvPr>
        <xdr:cNvSpPr txBox="1"/>
      </xdr:nvSpPr>
      <xdr:spPr bwMode="auto">
        <a:xfrm>
          <a:off x="3537723" y="471253"/>
          <a:ext cx="6383086" cy="1004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400" b="1">
              <a:latin typeface="Open Sans" panose="020B0606030504020204" pitchFamily="34" charset="0"/>
              <a:ea typeface="Open Sans" panose="020B0606030504020204" pitchFamily="34" charset="0"/>
              <a:cs typeface="Open Sans" panose="020B0606030504020204" pitchFamily="34" charset="0"/>
            </a:rPr>
            <a:t>VERIFICACIÓN</a:t>
          </a:r>
          <a:r>
            <a:rPr lang="es-CL" sz="1400" b="1" baseline="0">
              <a:latin typeface="Open Sans" panose="020B0606030504020204" pitchFamily="34" charset="0"/>
              <a:ea typeface="Open Sans" panose="020B0606030504020204" pitchFamily="34" charset="0"/>
              <a:cs typeface="Open Sans" panose="020B0606030504020204" pitchFamily="34" charset="0"/>
            </a:rPr>
            <a:t> DE CUMPLIMIENTO</a:t>
          </a:r>
        </a:p>
        <a:p>
          <a:pPr algn="ctr"/>
          <a:r>
            <a:rPr lang="es-CL" sz="1400" b="1" baseline="0">
              <a:latin typeface="Open Sans" panose="020B0606030504020204" pitchFamily="34" charset="0"/>
              <a:ea typeface="Open Sans" panose="020B0606030504020204" pitchFamily="34" charset="0"/>
              <a:cs typeface="Open Sans" panose="020B0606030504020204" pitchFamily="34" charset="0"/>
            </a:rPr>
            <a:t>KPI</a:t>
          </a:r>
          <a:endParaRPr lang="es-CL" sz="1400" b="1">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0"/>
  <dimension ref="B6:L24"/>
  <sheetViews>
    <sheetView showGridLines="0" topLeftCell="A6" zoomScale="80" zoomScaleNormal="80" workbookViewId="0">
      <selection activeCell="B15" sqref="B15:C15"/>
    </sheetView>
  </sheetViews>
  <sheetFormatPr baseColWidth="10" defaultColWidth="11.44140625" defaultRowHeight="15.6" x14ac:dyDescent="0.35"/>
  <cols>
    <col min="1" max="1" width="2.33203125" style="1" customWidth="1"/>
    <col min="2" max="2" width="37" style="1" customWidth="1"/>
    <col min="3" max="3" width="50.6640625" style="1" customWidth="1"/>
    <col min="4" max="4" width="25.5546875" style="1" customWidth="1"/>
    <col min="5" max="5" width="51.5546875" style="1" customWidth="1"/>
    <col min="6" max="6" width="32.44140625" style="1" customWidth="1"/>
    <col min="7" max="7" width="17.109375" style="1" customWidth="1"/>
    <col min="8" max="8" width="0" style="42" hidden="1" customWidth="1"/>
    <col min="9" max="16384" width="11.44140625" style="1"/>
  </cols>
  <sheetData>
    <row r="6" spans="2:12" s="5" customFormat="1" ht="35.25" customHeight="1" x14ac:dyDescent="0.4">
      <c r="C6" s="34"/>
      <c r="D6" s="34"/>
      <c r="E6" s="34"/>
      <c r="F6" s="35"/>
      <c r="G6" s="35"/>
      <c r="H6" s="56"/>
    </row>
    <row r="7" spans="2:12" s="5" customFormat="1" ht="35.25" customHeight="1" x14ac:dyDescent="0.4">
      <c r="C7" s="2"/>
      <c r="D7" s="3"/>
      <c r="E7" s="3"/>
      <c r="F7" s="44"/>
      <c r="G7" s="44"/>
      <c r="H7" s="56"/>
    </row>
    <row r="8" spans="2:12" s="6" customFormat="1" ht="17.399999999999999" x14ac:dyDescent="0.4">
      <c r="C8" s="7"/>
      <c r="D8" s="7"/>
      <c r="E8" s="7"/>
      <c r="H8" s="45"/>
    </row>
    <row r="9" spans="2:12" s="6" customFormat="1" ht="31.5" customHeight="1" x14ac:dyDescent="0.4">
      <c r="B9" s="69" t="s">
        <v>1</v>
      </c>
      <c r="C9" s="37" t="s">
        <v>393</v>
      </c>
      <c r="D9" s="71" t="s">
        <v>6</v>
      </c>
      <c r="E9" s="68" t="s">
        <v>392</v>
      </c>
      <c r="F9" s="89" t="s">
        <v>18</v>
      </c>
      <c r="G9" s="89"/>
      <c r="H9" s="45"/>
    </row>
    <row r="10" spans="2:12" s="6" customFormat="1" ht="34.799999999999997" x14ac:dyDescent="0.4">
      <c r="B10" s="69" t="s">
        <v>2</v>
      </c>
      <c r="C10" s="37" t="s">
        <v>391</v>
      </c>
      <c r="D10" s="72" t="s">
        <v>5</v>
      </c>
      <c r="E10" s="66">
        <v>45763</v>
      </c>
      <c r="F10" s="90"/>
      <c r="G10" s="90"/>
      <c r="H10" s="45"/>
      <c r="L10"/>
    </row>
    <row r="11" spans="2:12" s="6" customFormat="1" ht="34.799999999999997" x14ac:dyDescent="0.4">
      <c r="B11" s="70" t="s">
        <v>20</v>
      </c>
      <c r="C11" s="37" t="s">
        <v>398</v>
      </c>
      <c r="D11" s="69" t="s">
        <v>4</v>
      </c>
      <c r="E11" s="84">
        <v>0.5</v>
      </c>
      <c r="F11" s="89" t="s">
        <v>17</v>
      </c>
      <c r="G11" s="89"/>
      <c r="H11" s="45" t="s">
        <v>27</v>
      </c>
    </row>
    <row r="12" spans="2:12" s="6" customFormat="1" ht="17.399999999999999" x14ac:dyDescent="0.4">
      <c r="B12" s="69" t="s">
        <v>3</v>
      </c>
      <c r="C12" s="66">
        <v>45763</v>
      </c>
      <c r="D12" s="69" t="s">
        <v>7</v>
      </c>
      <c r="E12" s="84">
        <v>0.75</v>
      </c>
      <c r="F12" s="94">
        <f>G24</f>
        <v>0.5714285714285714</v>
      </c>
      <c r="G12" s="95"/>
      <c r="H12" s="45" t="s">
        <v>28</v>
      </c>
    </row>
    <row r="13" spans="2:12" x14ac:dyDescent="0.35">
      <c r="H13" s="42" t="s">
        <v>29</v>
      </c>
    </row>
    <row r="14" spans="2:12" s="9" customFormat="1" ht="31.2" x14ac:dyDescent="0.35">
      <c r="B14" s="86" t="s">
        <v>87</v>
      </c>
      <c r="C14" s="86"/>
      <c r="D14" s="74" t="s">
        <v>0</v>
      </c>
      <c r="E14" s="93" t="s">
        <v>114</v>
      </c>
      <c r="F14" s="93"/>
      <c r="G14" s="74" t="s">
        <v>16</v>
      </c>
      <c r="H14" s="46"/>
    </row>
    <row r="15" spans="2:12" ht="50.1" customHeight="1" x14ac:dyDescent="0.35">
      <c r="B15" s="96" t="s">
        <v>357</v>
      </c>
      <c r="C15" s="96"/>
      <c r="D15" s="40" t="s">
        <v>27</v>
      </c>
      <c r="E15" s="88"/>
      <c r="F15" s="88"/>
      <c r="G15" s="40">
        <f t="shared" ref="G15:G22" si="0">IF(D15="Cumple",1,IF(D15="No Cumple",0,"NA"))</f>
        <v>1</v>
      </c>
    </row>
    <row r="16" spans="2:12" ht="50.1" customHeight="1" x14ac:dyDescent="0.35">
      <c r="B16" s="96" t="s">
        <v>364</v>
      </c>
      <c r="C16" s="96"/>
      <c r="D16" s="40" t="s">
        <v>28</v>
      </c>
      <c r="E16" s="88"/>
      <c r="F16" s="88"/>
      <c r="G16" s="40">
        <f t="shared" si="0"/>
        <v>0</v>
      </c>
    </row>
    <row r="17" spans="2:7" ht="50.1" customHeight="1" x14ac:dyDescent="0.35">
      <c r="B17" s="97" t="s">
        <v>358</v>
      </c>
      <c r="C17" s="97"/>
      <c r="D17" s="40" t="s">
        <v>28</v>
      </c>
      <c r="E17" s="88"/>
      <c r="F17" s="88"/>
      <c r="G17" s="40">
        <f t="shared" si="0"/>
        <v>0</v>
      </c>
    </row>
    <row r="18" spans="2:7" ht="50.1" customHeight="1" x14ac:dyDescent="0.35">
      <c r="B18" s="97" t="s">
        <v>359</v>
      </c>
      <c r="C18" s="97"/>
      <c r="D18" s="40" t="s">
        <v>27</v>
      </c>
      <c r="E18" s="88"/>
      <c r="F18" s="88"/>
      <c r="G18" s="40">
        <f t="shared" si="0"/>
        <v>1</v>
      </c>
    </row>
    <row r="19" spans="2:7" ht="50.1" customHeight="1" x14ac:dyDescent="0.35">
      <c r="B19" s="97" t="s">
        <v>360</v>
      </c>
      <c r="C19" s="97"/>
      <c r="D19" s="40" t="s">
        <v>28</v>
      </c>
      <c r="E19" s="88"/>
      <c r="F19" s="88"/>
      <c r="G19" s="40">
        <f t="shared" si="0"/>
        <v>0</v>
      </c>
    </row>
    <row r="20" spans="2:7" ht="50.1" customHeight="1" x14ac:dyDescent="0.35">
      <c r="B20" s="97" t="s">
        <v>363</v>
      </c>
      <c r="C20" s="97"/>
      <c r="D20" s="40" t="s">
        <v>27</v>
      </c>
      <c r="E20" s="88"/>
      <c r="F20" s="88"/>
      <c r="G20" s="40">
        <f t="shared" si="0"/>
        <v>1</v>
      </c>
    </row>
    <row r="21" spans="2:7" ht="50.1" customHeight="1" x14ac:dyDescent="0.35">
      <c r="B21" s="97" t="s">
        <v>361</v>
      </c>
      <c r="C21" s="97"/>
      <c r="D21" s="40" t="s">
        <v>29</v>
      </c>
      <c r="E21" s="88"/>
      <c r="F21" s="88"/>
      <c r="G21" s="40" t="str">
        <f t="shared" ref="G21" si="1">IF(D21="Cumple",1,IF(D21="No Cumple",0,"NA"))</f>
        <v>NA</v>
      </c>
    </row>
    <row r="22" spans="2:7" ht="50.1" customHeight="1" x14ac:dyDescent="0.35">
      <c r="B22" s="97" t="s">
        <v>362</v>
      </c>
      <c r="C22" s="97"/>
      <c r="D22" s="40" t="s">
        <v>27</v>
      </c>
      <c r="E22" s="88"/>
      <c r="F22" s="88"/>
      <c r="G22" s="40">
        <f t="shared" si="0"/>
        <v>1</v>
      </c>
    </row>
    <row r="23" spans="2:7" ht="30.75" customHeight="1" x14ac:dyDescent="0.35">
      <c r="B23" s="67"/>
      <c r="E23" s="8"/>
      <c r="F23" s="98" t="s">
        <v>15</v>
      </c>
      <c r="G23" s="55">
        <f>SUMIF(G15:G22,"&lt;2")</f>
        <v>4</v>
      </c>
    </row>
    <row r="24" spans="2:7" x14ac:dyDescent="0.35">
      <c r="F24" s="86"/>
      <c r="G24" s="41">
        <f>IFERROR((G23*1)/(COUNTIF(G15:G22,"&lt;2")),"NA")</f>
        <v>0.5714285714285714</v>
      </c>
    </row>
  </sheetData>
  <mergeCells count="23">
    <mergeCell ref="F23:F24"/>
    <mergeCell ref="E19:F19"/>
    <mergeCell ref="E18:F18"/>
    <mergeCell ref="B20:C20"/>
    <mergeCell ref="B22:C22"/>
    <mergeCell ref="B18:C18"/>
    <mergeCell ref="B19:C19"/>
    <mergeCell ref="E22:F22"/>
    <mergeCell ref="B21:C21"/>
    <mergeCell ref="E20:F20"/>
    <mergeCell ref="E21:F21"/>
    <mergeCell ref="E15:F15"/>
    <mergeCell ref="B15:C15"/>
    <mergeCell ref="B16:C16"/>
    <mergeCell ref="E17:F17"/>
    <mergeCell ref="B17:C17"/>
    <mergeCell ref="E16:F16"/>
    <mergeCell ref="F9:G9"/>
    <mergeCell ref="F11:G11"/>
    <mergeCell ref="F10:G10"/>
    <mergeCell ref="F12:G12"/>
    <mergeCell ref="B14:C14"/>
    <mergeCell ref="E14:F14"/>
  </mergeCells>
  <dataValidations count="1">
    <dataValidation type="list" allowBlank="1" showInputMessage="1" showErrorMessage="1" sqref="D15:D22" xr:uid="{00000000-0002-0000-0000-000000000000}">
      <formula1>$H$11:$H$13</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1"/>
  <dimension ref="B3:H23"/>
  <sheetViews>
    <sheetView showGridLines="0" topLeftCell="A13" zoomScaleNormal="100" workbookViewId="0">
      <selection activeCell="B19" sqref="B19:C19"/>
    </sheetView>
  </sheetViews>
  <sheetFormatPr baseColWidth="10" defaultColWidth="11.44140625" defaultRowHeight="15.6" x14ac:dyDescent="0.35"/>
  <cols>
    <col min="1" max="1" width="3" style="1" customWidth="1"/>
    <col min="2" max="2" width="27.88671875" style="1" customWidth="1"/>
    <col min="3" max="3" width="50.6640625" style="1" customWidth="1"/>
    <col min="4" max="4" width="26" style="1" customWidth="1"/>
    <col min="5" max="5" width="51.5546875" style="1" customWidth="1"/>
    <col min="6" max="6" width="23.33203125" style="1" customWidth="1"/>
    <col min="7" max="7" width="11.44140625" style="1"/>
    <col min="8" max="8" width="0" style="42" hidden="1" customWidth="1"/>
    <col min="9" max="16384" width="11.44140625" style="1"/>
  </cols>
  <sheetData>
    <row r="3" spans="2:8" s="5" customFormat="1" ht="35.25" customHeight="1" x14ac:dyDescent="0.4">
      <c r="C3" s="34"/>
      <c r="D3" s="34"/>
      <c r="E3" s="34"/>
      <c r="F3" s="35"/>
      <c r="G3" s="35"/>
      <c r="H3" s="56"/>
    </row>
    <row r="4" spans="2:8" s="5" customFormat="1" ht="35.25" customHeight="1" x14ac:dyDescent="0.4">
      <c r="C4" s="2"/>
      <c r="D4" s="3"/>
      <c r="E4" s="3"/>
      <c r="F4" s="44"/>
      <c r="G4" s="44"/>
      <c r="H4" s="56"/>
    </row>
    <row r="5" spans="2:8" s="6" customFormat="1" ht="17.399999999999999" x14ac:dyDescent="0.4">
      <c r="C5" s="7"/>
      <c r="D5" s="7"/>
      <c r="E5" s="7"/>
      <c r="H5" s="45"/>
    </row>
    <row r="6" spans="2:8" s="6" customFormat="1" ht="31.5" customHeight="1" x14ac:dyDescent="0.4">
      <c r="B6" s="69" t="s">
        <v>1</v>
      </c>
      <c r="C6" s="37" t="str">
        <f>'Nivel 1'!C9</f>
        <v>Oficina Central</v>
      </c>
      <c r="D6" s="71" t="s">
        <v>6</v>
      </c>
      <c r="E6" s="37" t="str">
        <f>'Nivel 1'!E9</f>
        <v>Bimbo</v>
      </c>
      <c r="F6" s="89" t="s">
        <v>18</v>
      </c>
      <c r="G6" s="89"/>
      <c r="H6" s="45"/>
    </row>
    <row r="7" spans="2:8" s="6" customFormat="1" ht="15.75" customHeight="1" x14ac:dyDescent="0.4">
      <c r="B7" s="69" t="s">
        <v>2</v>
      </c>
      <c r="C7" s="37" t="str">
        <f>'Nivel 1'!C10</f>
        <v>Franklin Bratta</v>
      </c>
      <c r="D7" s="71" t="s">
        <v>5</v>
      </c>
      <c r="E7" s="37"/>
      <c r="F7" s="90"/>
      <c r="G7" s="90"/>
      <c r="H7" s="45"/>
    </row>
    <row r="8" spans="2:8" s="6" customFormat="1" ht="31.5" customHeight="1" x14ac:dyDescent="0.4">
      <c r="B8" s="70" t="s">
        <v>20</v>
      </c>
      <c r="C8" s="37" t="str">
        <f>'Nivel 1'!C11</f>
        <v>Loreto lopez</v>
      </c>
      <c r="D8" s="69" t="s">
        <v>4</v>
      </c>
      <c r="E8" s="37">
        <f>'Nivel 1'!E11</f>
        <v>0.5</v>
      </c>
      <c r="F8" s="89" t="s">
        <v>17</v>
      </c>
      <c r="G8" s="89"/>
      <c r="H8" s="45" t="s">
        <v>27</v>
      </c>
    </row>
    <row r="9" spans="2:8" s="6" customFormat="1" ht="15.75" customHeight="1" x14ac:dyDescent="0.4">
      <c r="B9" s="69" t="s">
        <v>3</v>
      </c>
      <c r="C9" s="66"/>
      <c r="D9" s="69" t="s">
        <v>7</v>
      </c>
      <c r="E9" s="37">
        <f>'Nivel 1'!E12</f>
        <v>0.75</v>
      </c>
      <c r="F9" s="91">
        <f>G23</f>
        <v>1</v>
      </c>
      <c r="G9" s="92"/>
      <c r="H9" s="45" t="s">
        <v>28</v>
      </c>
    </row>
    <row r="10" spans="2:8" x14ac:dyDescent="0.35">
      <c r="H10" s="42" t="s">
        <v>29</v>
      </c>
    </row>
    <row r="11" spans="2:8" s="9" customFormat="1" ht="30" customHeight="1" x14ac:dyDescent="0.35">
      <c r="B11" s="86" t="s">
        <v>88</v>
      </c>
      <c r="C11" s="86"/>
      <c r="D11" s="74" t="s">
        <v>0</v>
      </c>
      <c r="E11" s="93" t="s">
        <v>114</v>
      </c>
      <c r="F11" s="93"/>
      <c r="G11" s="74" t="s">
        <v>16</v>
      </c>
      <c r="H11" s="46"/>
    </row>
    <row r="12" spans="2:8" ht="50.1" customHeight="1" x14ac:dyDescent="0.35">
      <c r="B12" s="97" t="s">
        <v>365</v>
      </c>
      <c r="C12" s="97"/>
      <c r="D12" s="40" t="s">
        <v>27</v>
      </c>
      <c r="E12" s="88"/>
      <c r="F12" s="88"/>
      <c r="G12" s="40">
        <f>IF(D12="Cumple",1,IF(D12="No Cumple",0,"NA"))</f>
        <v>1</v>
      </c>
    </row>
    <row r="13" spans="2:8" ht="50.1" customHeight="1" x14ac:dyDescent="0.35">
      <c r="B13" s="97" t="s">
        <v>394</v>
      </c>
      <c r="C13" s="97"/>
      <c r="D13" s="40" t="s">
        <v>27</v>
      </c>
      <c r="E13" s="88"/>
      <c r="F13" s="88"/>
      <c r="G13" s="40">
        <f t="shared" ref="G13:G20" si="0">IF(D13="Cumple",1,IF(D13="No Cumple",0,"NA"))</f>
        <v>1</v>
      </c>
    </row>
    <row r="14" spans="2:8" ht="50.1" customHeight="1" x14ac:dyDescent="0.35">
      <c r="B14" s="97" t="s">
        <v>112</v>
      </c>
      <c r="C14" s="97"/>
      <c r="D14" s="40" t="s">
        <v>27</v>
      </c>
      <c r="E14" s="88"/>
      <c r="F14" s="88"/>
      <c r="G14" s="40">
        <f t="shared" si="0"/>
        <v>1</v>
      </c>
    </row>
    <row r="15" spans="2:8" ht="50.1" customHeight="1" x14ac:dyDescent="0.35">
      <c r="B15" s="97" t="s">
        <v>366</v>
      </c>
      <c r="C15" s="97"/>
      <c r="D15" s="40" t="s">
        <v>27</v>
      </c>
      <c r="E15" s="88"/>
      <c r="F15" s="88"/>
      <c r="G15" s="40">
        <f t="shared" si="0"/>
        <v>1</v>
      </c>
    </row>
    <row r="16" spans="2:8" ht="50.1" customHeight="1" x14ac:dyDescent="0.35">
      <c r="B16" s="99" t="s">
        <v>395</v>
      </c>
      <c r="C16" s="99"/>
      <c r="D16" s="40" t="s">
        <v>27</v>
      </c>
      <c r="E16" s="88"/>
      <c r="F16" s="88"/>
      <c r="G16" s="40">
        <f t="shared" si="0"/>
        <v>1</v>
      </c>
    </row>
    <row r="17" spans="2:7" ht="50.1" customHeight="1" x14ac:dyDescent="0.35">
      <c r="B17" s="97" t="s">
        <v>110</v>
      </c>
      <c r="C17" s="97"/>
      <c r="D17" s="40" t="s">
        <v>27</v>
      </c>
      <c r="E17" s="88"/>
      <c r="F17" s="88"/>
      <c r="G17" s="40">
        <f t="shared" si="0"/>
        <v>1</v>
      </c>
    </row>
    <row r="18" spans="2:7" ht="50.1" customHeight="1" x14ac:dyDescent="0.35">
      <c r="B18" s="97" t="s">
        <v>396</v>
      </c>
      <c r="C18" s="97"/>
      <c r="D18" s="40" t="s">
        <v>27</v>
      </c>
      <c r="E18" s="88"/>
      <c r="F18" s="88"/>
      <c r="G18" s="40">
        <f t="shared" si="0"/>
        <v>1</v>
      </c>
    </row>
    <row r="19" spans="2:7" ht="50.1" customHeight="1" x14ac:dyDescent="0.35">
      <c r="B19" s="97" t="s">
        <v>397</v>
      </c>
      <c r="C19" s="97"/>
      <c r="D19" s="40" t="s">
        <v>27</v>
      </c>
      <c r="E19" s="88"/>
      <c r="F19" s="88"/>
      <c r="G19" s="40">
        <f t="shared" si="0"/>
        <v>1</v>
      </c>
    </row>
    <row r="20" spans="2:7" ht="50.1" customHeight="1" x14ac:dyDescent="0.35">
      <c r="B20" s="97" t="s">
        <v>111</v>
      </c>
      <c r="C20" s="97"/>
      <c r="D20" s="40" t="s">
        <v>27</v>
      </c>
      <c r="E20" s="88"/>
      <c r="F20" s="88"/>
      <c r="G20" s="40">
        <f t="shared" si="0"/>
        <v>1</v>
      </c>
    </row>
    <row r="21" spans="2:7" ht="50.1" customHeight="1" x14ac:dyDescent="0.35">
      <c r="B21" s="97" t="s">
        <v>113</v>
      </c>
      <c r="C21" s="97"/>
      <c r="D21" s="40" t="s">
        <v>27</v>
      </c>
      <c r="E21" s="88"/>
      <c r="F21" s="88"/>
      <c r="G21" s="40">
        <f t="shared" ref="G21" si="1">IF(D21="Cumple",1,IF(D21="No Cumple",0,"NA"))</f>
        <v>1</v>
      </c>
    </row>
    <row r="22" spans="2:7" x14ac:dyDescent="0.35">
      <c r="F22" s="86" t="s">
        <v>15</v>
      </c>
      <c r="G22" s="40">
        <f>SUMIF(G12:G21,"&lt;2")</f>
        <v>10</v>
      </c>
    </row>
    <row r="23" spans="2:7" x14ac:dyDescent="0.35">
      <c r="F23" s="86"/>
      <c r="G23" s="41">
        <f>IFERROR((G22*1)/(COUNTIF(G12:H21,"&lt;2")),"NA")</f>
        <v>1</v>
      </c>
    </row>
  </sheetData>
  <mergeCells count="27">
    <mergeCell ref="F22:F23"/>
    <mergeCell ref="E13:F13"/>
    <mergeCell ref="B13:C13"/>
    <mergeCell ref="B14:C14"/>
    <mergeCell ref="B15:C15"/>
    <mergeCell ref="B20:C20"/>
    <mergeCell ref="B16:C16"/>
    <mergeCell ref="B17:C17"/>
    <mergeCell ref="B18:C18"/>
    <mergeCell ref="B19:C19"/>
    <mergeCell ref="B21:C21"/>
    <mergeCell ref="E14:F14"/>
    <mergeCell ref="E15:F15"/>
    <mergeCell ref="E16:F16"/>
    <mergeCell ref="E17:F17"/>
    <mergeCell ref="E18:F18"/>
    <mergeCell ref="E19:F19"/>
    <mergeCell ref="E20:F20"/>
    <mergeCell ref="E21:F21"/>
    <mergeCell ref="B11:C11"/>
    <mergeCell ref="E11:F11"/>
    <mergeCell ref="B12:C12"/>
    <mergeCell ref="F8:G8"/>
    <mergeCell ref="F6:G6"/>
    <mergeCell ref="F7:G7"/>
    <mergeCell ref="F9:G9"/>
    <mergeCell ref="E12:F12"/>
  </mergeCells>
  <dataValidations count="1">
    <dataValidation type="list" allowBlank="1" showInputMessage="1" showErrorMessage="1" sqref="D12:D21" xr:uid="{00000000-0002-0000-0100-000000000000}">
      <formula1>$H$8:$H$10</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2"/>
  <dimension ref="B3:H21"/>
  <sheetViews>
    <sheetView showGridLines="0" topLeftCell="A12" zoomScaleNormal="100" workbookViewId="0">
      <selection activeCell="E14" sqref="E14:F14"/>
    </sheetView>
  </sheetViews>
  <sheetFormatPr baseColWidth="10" defaultColWidth="11.44140625" defaultRowHeight="15.6" x14ac:dyDescent="0.35"/>
  <cols>
    <col min="1" max="1" width="2.44140625" style="1" customWidth="1"/>
    <col min="2" max="2" width="32.6640625" style="1" customWidth="1"/>
    <col min="3" max="3" width="50.6640625" style="1" customWidth="1"/>
    <col min="4" max="4" width="25.88671875" style="1" customWidth="1"/>
    <col min="5" max="5" width="51.5546875" style="1" customWidth="1"/>
    <col min="6" max="6" width="32.44140625" style="1" customWidth="1"/>
    <col min="7" max="7" width="11.44140625" style="1"/>
    <col min="8" max="8" width="0" style="42" hidden="1" customWidth="1"/>
    <col min="9" max="16384" width="11.44140625" style="1"/>
  </cols>
  <sheetData>
    <row r="3" spans="2:8" s="5" customFormat="1" ht="35.25" customHeight="1" x14ac:dyDescent="0.4">
      <c r="C3" s="34"/>
      <c r="D3" s="34"/>
      <c r="E3" s="34"/>
      <c r="F3" s="35"/>
      <c r="G3" s="35"/>
      <c r="H3" s="56"/>
    </row>
    <row r="4" spans="2:8" s="5" customFormat="1" ht="35.25" customHeight="1" x14ac:dyDescent="0.4">
      <c r="C4" s="2"/>
      <c r="D4" s="3"/>
      <c r="E4" s="3"/>
      <c r="F4" s="44"/>
      <c r="G4" s="44"/>
      <c r="H4" s="56"/>
    </row>
    <row r="5" spans="2:8" s="6" customFormat="1" ht="17.399999999999999" x14ac:dyDescent="0.4">
      <c r="C5" s="7"/>
      <c r="D5" s="7"/>
      <c r="E5" s="7"/>
      <c r="H5" s="45"/>
    </row>
    <row r="6" spans="2:8" s="6" customFormat="1" ht="39.75" customHeight="1" x14ac:dyDescent="0.4">
      <c r="B6" s="69" t="s">
        <v>1</v>
      </c>
      <c r="C6" s="37" t="str">
        <f>'Nivel 1'!C9</f>
        <v>Oficina Central</v>
      </c>
      <c r="D6" s="71" t="s">
        <v>6</v>
      </c>
      <c r="E6" s="37" t="str">
        <f>'Nivel 1'!E9</f>
        <v>Bimbo</v>
      </c>
      <c r="F6" s="89" t="s">
        <v>18</v>
      </c>
      <c r="G6" s="89"/>
      <c r="H6" s="45"/>
    </row>
    <row r="7" spans="2:8" s="6" customFormat="1" ht="39" customHeight="1" x14ac:dyDescent="0.4">
      <c r="B7" s="69" t="s">
        <v>2</v>
      </c>
      <c r="C7" s="37" t="str">
        <f>'Nivel 1'!C10</f>
        <v>Franklin Bratta</v>
      </c>
      <c r="D7" s="72" t="s">
        <v>5</v>
      </c>
      <c r="E7" s="37">
        <f>'Nivel 1'!E10</f>
        <v>45763</v>
      </c>
      <c r="F7" s="90"/>
      <c r="G7" s="90"/>
      <c r="H7" s="45"/>
    </row>
    <row r="8" spans="2:8" s="6" customFormat="1" ht="48.75" customHeight="1" x14ac:dyDescent="0.4">
      <c r="B8" s="70" t="s">
        <v>20</v>
      </c>
      <c r="C8" s="37" t="str">
        <f>'Nivel 1'!C11</f>
        <v>Loreto lopez</v>
      </c>
      <c r="D8" s="69" t="s">
        <v>4</v>
      </c>
      <c r="E8" s="37">
        <f>'Nivel 1'!E11</f>
        <v>0.5</v>
      </c>
      <c r="F8" s="89" t="s">
        <v>17</v>
      </c>
      <c r="G8" s="89"/>
      <c r="H8" s="45" t="s">
        <v>27</v>
      </c>
    </row>
    <row r="9" spans="2:8" s="6" customFormat="1" ht="34.5" customHeight="1" x14ac:dyDescent="0.4">
      <c r="B9" s="69" t="s">
        <v>3</v>
      </c>
      <c r="C9" s="37">
        <f>'Nivel 1'!C12</f>
        <v>45763</v>
      </c>
      <c r="D9" s="69" t="s">
        <v>7</v>
      </c>
      <c r="E9" s="37">
        <f>'Nivel 1'!E12</f>
        <v>0.75</v>
      </c>
      <c r="F9" s="91" t="str">
        <f>G21</f>
        <v>NA</v>
      </c>
      <c r="G9" s="92"/>
      <c r="H9" s="45" t="s">
        <v>28</v>
      </c>
    </row>
    <row r="10" spans="2:8" x14ac:dyDescent="0.35">
      <c r="H10" s="42" t="s">
        <v>29</v>
      </c>
    </row>
    <row r="11" spans="2:8" s="9" customFormat="1" ht="31.2" x14ac:dyDescent="0.35">
      <c r="B11" s="86" t="s">
        <v>8</v>
      </c>
      <c r="C11" s="86"/>
      <c r="D11" s="74" t="s">
        <v>0</v>
      </c>
      <c r="E11" s="93" t="s">
        <v>114</v>
      </c>
      <c r="F11" s="93"/>
      <c r="G11" s="74" t="s">
        <v>16</v>
      </c>
      <c r="H11" s="46"/>
    </row>
    <row r="12" spans="2:8" ht="50.1" customHeight="1" x14ac:dyDescent="0.35">
      <c r="B12" s="85" t="s">
        <v>367</v>
      </c>
      <c r="C12" s="85"/>
      <c r="D12" s="40"/>
      <c r="E12" s="88"/>
      <c r="F12" s="88"/>
      <c r="G12" s="40" t="str">
        <f>IF(D12="Cumple",1,IF(D12="No Cumple",0,"NA"))</f>
        <v>NA</v>
      </c>
    </row>
    <row r="13" spans="2:8" ht="50.1" customHeight="1" x14ac:dyDescent="0.35">
      <c r="B13" s="85" t="s">
        <v>368</v>
      </c>
      <c r="C13" s="85"/>
      <c r="D13" s="40"/>
      <c r="E13" s="88"/>
      <c r="F13" s="88"/>
      <c r="G13" s="40" t="str">
        <f t="shared" ref="G13:G19" si="0">IF(D13="Cumple",1,IF(D13="No Cumple",0,"NA"))</f>
        <v>NA</v>
      </c>
    </row>
    <row r="14" spans="2:8" ht="50.1" customHeight="1" x14ac:dyDescent="0.35">
      <c r="B14" s="85" t="s">
        <v>369</v>
      </c>
      <c r="C14" s="85"/>
      <c r="D14" s="40"/>
      <c r="E14" s="88"/>
      <c r="F14" s="88"/>
      <c r="G14" s="40" t="str">
        <f t="shared" si="0"/>
        <v>NA</v>
      </c>
    </row>
    <row r="15" spans="2:8" ht="50.1" customHeight="1" x14ac:dyDescent="0.35">
      <c r="B15" s="100" t="s">
        <v>355</v>
      </c>
      <c r="C15" s="100"/>
      <c r="D15" s="40"/>
      <c r="E15" s="88"/>
      <c r="F15" s="88"/>
      <c r="G15" s="40" t="str">
        <f t="shared" si="0"/>
        <v>NA</v>
      </c>
    </row>
    <row r="16" spans="2:8" ht="50.1" customHeight="1" x14ac:dyDescent="0.35">
      <c r="B16" s="85" t="s">
        <v>370</v>
      </c>
      <c r="C16" s="85"/>
      <c r="D16" s="40"/>
      <c r="E16" s="88"/>
      <c r="F16" s="88"/>
      <c r="G16" s="40" t="str">
        <f t="shared" si="0"/>
        <v>NA</v>
      </c>
    </row>
    <row r="17" spans="2:7" ht="50.1" customHeight="1" x14ac:dyDescent="0.35">
      <c r="B17" s="85" t="s">
        <v>371</v>
      </c>
      <c r="C17" s="85"/>
      <c r="D17" s="40"/>
      <c r="E17" s="88"/>
      <c r="F17" s="88"/>
      <c r="G17" s="40" t="str">
        <f t="shared" si="0"/>
        <v>NA</v>
      </c>
    </row>
    <row r="18" spans="2:7" ht="50.1" customHeight="1" x14ac:dyDescent="0.35">
      <c r="B18" s="85" t="s">
        <v>356</v>
      </c>
      <c r="C18" s="85"/>
      <c r="D18" s="40"/>
      <c r="E18" s="88"/>
      <c r="F18" s="88"/>
      <c r="G18" s="40" t="str">
        <f t="shared" si="0"/>
        <v>NA</v>
      </c>
    </row>
    <row r="19" spans="2:7" ht="50.1" customHeight="1" x14ac:dyDescent="0.35">
      <c r="B19" s="85" t="s">
        <v>372</v>
      </c>
      <c r="C19" s="85"/>
      <c r="D19" s="40"/>
      <c r="E19" s="88"/>
      <c r="F19" s="88"/>
      <c r="G19" s="40" t="str">
        <f t="shared" si="0"/>
        <v>NA</v>
      </c>
    </row>
    <row r="20" spans="2:7" x14ac:dyDescent="0.35">
      <c r="F20" s="98" t="s">
        <v>15</v>
      </c>
      <c r="G20" s="65">
        <f>SUMIF(G12:G19,"&lt;2")</f>
        <v>0</v>
      </c>
    </row>
    <row r="21" spans="2:7" x14ac:dyDescent="0.35">
      <c r="F21" s="86"/>
      <c r="G21" s="64" t="str">
        <f>IFERROR((G20*1)/(COUNTIF(G12:G19,"&lt;2")),"NA")</f>
        <v>NA</v>
      </c>
    </row>
  </sheetData>
  <mergeCells count="23">
    <mergeCell ref="F20:F21"/>
    <mergeCell ref="E18:F18"/>
    <mergeCell ref="E19:F19"/>
    <mergeCell ref="F6:G6"/>
    <mergeCell ref="F8:G8"/>
    <mergeCell ref="F7:G7"/>
    <mergeCell ref="F9:G9"/>
    <mergeCell ref="B11:C11"/>
    <mergeCell ref="E11:F11"/>
    <mergeCell ref="B12:C12"/>
    <mergeCell ref="B18:C18"/>
    <mergeCell ref="B19:C19"/>
    <mergeCell ref="E12:F12"/>
    <mergeCell ref="E13:F13"/>
    <mergeCell ref="E14:F14"/>
    <mergeCell ref="E15:F15"/>
    <mergeCell ref="E16:F16"/>
    <mergeCell ref="E17:F17"/>
    <mergeCell ref="B14:C14"/>
    <mergeCell ref="B15:C15"/>
    <mergeCell ref="B16:C16"/>
    <mergeCell ref="B17:C17"/>
    <mergeCell ref="B13:C13"/>
  </mergeCells>
  <dataValidations count="1">
    <dataValidation type="list" allowBlank="1" showInputMessage="1" showErrorMessage="1" sqref="D12:D19" xr:uid="{00000000-0002-0000-0200-000000000000}">
      <formula1>$H$8:$H$10</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23"/>
  <dimension ref="B3:H19"/>
  <sheetViews>
    <sheetView showGridLines="0" topLeftCell="A7" zoomScale="96" zoomScaleNormal="96" workbookViewId="0">
      <selection activeCell="J11" sqref="J11"/>
    </sheetView>
  </sheetViews>
  <sheetFormatPr baseColWidth="10" defaultColWidth="11.44140625" defaultRowHeight="15.6" x14ac:dyDescent="0.35"/>
  <cols>
    <col min="1" max="1" width="2.33203125" style="1" customWidth="1"/>
    <col min="2" max="2" width="27.88671875" style="1" customWidth="1"/>
    <col min="3" max="3" width="50.6640625" style="1" customWidth="1"/>
    <col min="4" max="4" width="25.5546875" style="1" customWidth="1"/>
    <col min="5" max="5" width="51.5546875" style="1" customWidth="1"/>
    <col min="6" max="6" width="25.44140625" style="1" customWidth="1"/>
    <col min="7" max="7" width="11.44140625" style="1"/>
    <col min="8" max="8" width="0" style="42" hidden="1" customWidth="1"/>
    <col min="9" max="16384" width="11.44140625" style="1"/>
  </cols>
  <sheetData>
    <row r="3" spans="2:8" s="5" customFormat="1" ht="35.25" customHeight="1" x14ac:dyDescent="0.4">
      <c r="C3" s="34"/>
      <c r="D3" s="34"/>
      <c r="E3" s="34"/>
      <c r="F3" s="35"/>
      <c r="G3" s="35"/>
      <c r="H3" s="56"/>
    </row>
    <row r="4" spans="2:8" s="5" customFormat="1" ht="35.25" customHeight="1" x14ac:dyDescent="0.4">
      <c r="C4" s="2"/>
      <c r="D4" s="3"/>
      <c r="E4" s="3"/>
      <c r="F4" s="44"/>
      <c r="G4" s="44"/>
      <c r="H4" s="56"/>
    </row>
    <row r="5" spans="2:8" s="6" customFormat="1" ht="17.399999999999999" x14ac:dyDescent="0.4">
      <c r="C5" s="7"/>
      <c r="D5" s="7"/>
      <c r="E5" s="7"/>
      <c r="H5" s="45"/>
    </row>
    <row r="6" spans="2:8" s="6" customFormat="1" ht="31.5" customHeight="1" x14ac:dyDescent="0.4">
      <c r="B6" s="69" t="s">
        <v>1</v>
      </c>
      <c r="C6" s="37" t="str">
        <f>'Nivel 1'!C9</f>
        <v>Oficina Central</v>
      </c>
      <c r="D6" s="71" t="s">
        <v>6</v>
      </c>
      <c r="E6" s="37" t="str">
        <f>'Nivel 1'!E9</f>
        <v>Bimbo</v>
      </c>
      <c r="F6" s="89" t="s">
        <v>18</v>
      </c>
      <c r="G6" s="89"/>
      <c r="H6" s="45"/>
    </row>
    <row r="7" spans="2:8" s="6" customFormat="1" ht="41.25" customHeight="1" x14ac:dyDescent="0.4">
      <c r="B7" s="69" t="s">
        <v>2</v>
      </c>
      <c r="C7" s="37" t="str">
        <f>'Nivel 1'!C10</f>
        <v>Franklin Bratta</v>
      </c>
      <c r="D7" s="72" t="s">
        <v>5</v>
      </c>
      <c r="E7" s="37">
        <f>'Nivel 1'!E10</f>
        <v>45763</v>
      </c>
      <c r="F7" s="90"/>
      <c r="G7" s="90"/>
      <c r="H7" s="45"/>
    </row>
    <row r="8" spans="2:8" s="6" customFormat="1" ht="42.75" customHeight="1" x14ac:dyDescent="0.4">
      <c r="B8" s="70" t="s">
        <v>20</v>
      </c>
      <c r="C8" s="37" t="str">
        <f>'Nivel 1'!C11</f>
        <v>Loreto lopez</v>
      </c>
      <c r="D8" s="69" t="s">
        <v>4</v>
      </c>
      <c r="E8" s="37">
        <f>'Nivel 1'!E11</f>
        <v>0.5</v>
      </c>
      <c r="F8" s="89" t="s">
        <v>17</v>
      </c>
      <c r="G8" s="89"/>
      <c r="H8" s="45" t="s">
        <v>27</v>
      </c>
    </row>
    <row r="9" spans="2:8" s="6" customFormat="1" ht="30" customHeight="1" x14ac:dyDescent="0.4">
      <c r="B9" s="69" t="s">
        <v>3</v>
      </c>
      <c r="C9" s="37">
        <f>'Nivel 1'!C12</f>
        <v>45763</v>
      </c>
      <c r="D9" s="69" t="s">
        <v>7</v>
      </c>
      <c r="E9" s="37">
        <f>'Nivel 1'!E12</f>
        <v>0.75</v>
      </c>
      <c r="F9" s="91" t="str">
        <f>G19</f>
        <v>NA</v>
      </c>
      <c r="G9" s="92"/>
      <c r="H9" s="45" t="s">
        <v>28</v>
      </c>
    </row>
    <row r="10" spans="2:8" x14ac:dyDescent="0.35">
      <c r="H10" s="42" t="s">
        <v>29</v>
      </c>
    </row>
    <row r="11" spans="2:8" s="9" customFormat="1" ht="31.2" x14ac:dyDescent="0.35">
      <c r="B11" s="86" t="s">
        <v>9</v>
      </c>
      <c r="C11" s="86"/>
      <c r="D11" s="74" t="s">
        <v>0</v>
      </c>
      <c r="E11" s="93" t="s">
        <v>114</v>
      </c>
      <c r="F11" s="93"/>
      <c r="G11" s="74" t="s">
        <v>16</v>
      </c>
      <c r="H11" s="46"/>
    </row>
    <row r="12" spans="2:8" ht="50.1" customHeight="1" x14ac:dyDescent="0.35">
      <c r="B12" s="85" t="s">
        <v>374</v>
      </c>
      <c r="C12" s="85"/>
      <c r="D12" s="40"/>
      <c r="E12" s="88"/>
      <c r="F12" s="88"/>
      <c r="G12" s="40" t="str">
        <f>IF(D12="Cumple",1,IF(D12="No Cumple",0,"NA"))</f>
        <v>NA</v>
      </c>
    </row>
    <row r="13" spans="2:8" ht="50.1" customHeight="1" x14ac:dyDescent="0.35">
      <c r="B13" s="85" t="s">
        <v>373</v>
      </c>
      <c r="C13" s="85"/>
      <c r="D13" s="40"/>
      <c r="E13" s="88"/>
      <c r="F13" s="88"/>
      <c r="G13" s="40" t="str">
        <f>IF(D13="Cumple",1,IF(D13="No Cumple",0,"NA"))</f>
        <v>NA</v>
      </c>
    </row>
    <row r="14" spans="2:8" ht="50.1" customHeight="1" x14ac:dyDescent="0.35">
      <c r="B14" s="85" t="s">
        <v>375</v>
      </c>
      <c r="C14" s="85"/>
      <c r="D14" s="40"/>
      <c r="E14" s="88"/>
      <c r="F14" s="88"/>
      <c r="G14" s="40" t="str">
        <f t="shared" ref="G14:G15" si="0">IF(D14="Cumple",1,IF(D14="No Cumple",0,"NA"))</f>
        <v>NA</v>
      </c>
    </row>
    <row r="15" spans="2:8" ht="50.1" customHeight="1" x14ac:dyDescent="0.35">
      <c r="B15" s="85" t="s">
        <v>377</v>
      </c>
      <c r="C15" s="85"/>
      <c r="D15" s="40"/>
      <c r="E15" s="88"/>
      <c r="F15" s="88"/>
      <c r="G15" s="40" t="str">
        <f t="shared" si="0"/>
        <v>NA</v>
      </c>
    </row>
    <row r="16" spans="2:8" ht="50.1" customHeight="1" x14ac:dyDescent="0.35">
      <c r="B16" s="85" t="s">
        <v>376</v>
      </c>
      <c r="C16" s="85"/>
      <c r="D16" s="40"/>
      <c r="E16" s="88"/>
      <c r="F16" s="88"/>
      <c r="G16" s="40" t="str">
        <f t="shared" ref="G16:G17" si="1">IF(D16="Cumple",1,IF(D16="No Cumple",0,"NA"))</f>
        <v>NA</v>
      </c>
    </row>
    <row r="17" spans="2:7" ht="50.1" customHeight="1" x14ac:dyDescent="0.35">
      <c r="B17" s="85" t="s">
        <v>378</v>
      </c>
      <c r="C17" s="85"/>
      <c r="D17" s="40"/>
      <c r="E17" s="88"/>
      <c r="F17" s="88"/>
      <c r="G17" s="40" t="str">
        <f t="shared" si="1"/>
        <v>NA</v>
      </c>
    </row>
    <row r="18" spans="2:7" x14ac:dyDescent="0.35">
      <c r="F18" s="86" t="s">
        <v>15</v>
      </c>
      <c r="G18" s="40">
        <f>SUMIF(G12:G17,"&lt;2")</f>
        <v>0</v>
      </c>
    </row>
    <row r="19" spans="2:7" x14ac:dyDescent="0.35">
      <c r="F19" s="86"/>
      <c r="G19" s="41" t="str">
        <f>IFERROR((G18*1)/(COUNTIF(G12:G17,"&lt;2")),"NA")</f>
        <v>NA</v>
      </c>
    </row>
  </sheetData>
  <mergeCells count="19">
    <mergeCell ref="F18:F19"/>
    <mergeCell ref="B17:C17"/>
    <mergeCell ref="E17:F17"/>
    <mergeCell ref="B11:C11"/>
    <mergeCell ref="E11:F11"/>
    <mergeCell ref="B12:C12"/>
    <mergeCell ref="E12:F12"/>
    <mergeCell ref="B16:C16"/>
    <mergeCell ref="B15:C15"/>
    <mergeCell ref="B14:C14"/>
    <mergeCell ref="B13:C13"/>
    <mergeCell ref="F6:G6"/>
    <mergeCell ref="F8:G8"/>
    <mergeCell ref="F7:G7"/>
    <mergeCell ref="F9:G9"/>
    <mergeCell ref="E16:F16"/>
    <mergeCell ref="E13:F13"/>
    <mergeCell ref="E14:F14"/>
    <mergeCell ref="E15:F15"/>
  </mergeCells>
  <dataValidations count="1">
    <dataValidation type="list" allowBlank="1" showInputMessage="1" showErrorMessage="1" sqref="D12:D17" xr:uid="{00000000-0002-0000-0300-000000000000}">
      <formula1>$H$8:$H$10</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25"/>
  <dimension ref="B3:H20"/>
  <sheetViews>
    <sheetView showGridLines="0" topLeftCell="A4" zoomScale="80" zoomScaleNormal="80" workbookViewId="0">
      <selection activeCell="L7" sqref="L7"/>
    </sheetView>
  </sheetViews>
  <sheetFormatPr baseColWidth="10" defaultColWidth="11.44140625" defaultRowHeight="15.6" x14ac:dyDescent="0.35"/>
  <cols>
    <col min="1" max="1" width="2.88671875" style="1" customWidth="1"/>
    <col min="2" max="2" width="27.88671875" style="1" customWidth="1"/>
    <col min="3" max="3" width="50.6640625" style="1" customWidth="1"/>
    <col min="4" max="4" width="26.109375" style="1" customWidth="1"/>
    <col min="5" max="5" width="51.5546875" style="1" customWidth="1"/>
    <col min="6" max="6" width="22.88671875" style="1" customWidth="1"/>
    <col min="7" max="7" width="11.44140625" style="1"/>
    <col min="8" max="8" width="0" style="1" hidden="1" customWidth="1"/>
    <col min="9" max="16384" width="11.44140625" style="1"/>
  </cols>
  <sheetData>
    <row r="3" spans="2:8" s="5" customFormat="1" ht="35.25" customHeight="1" x14ac:dyDescent="0.4">
      <c r="C3" s="34"/>
      <c r="D3" s="34"/>
      <c r="E3" s="34"/>
      <c r="F3" s="35"/>
      <c r="G3" s="35"/>
    </row>
    <row r="4" spans="2:8" s="5" customFormat="1" ht="35.25" customHeight="1" x14ac:dyDescent="0.4">
      <c r="C4" s="2"/>
      <c r="D4" s="3"/>
      <c r="E4" s="3"/>
      <c r="F4" s="44"/>
      <c r="G4" s="44"/>
    </row>
    <row r="5" spans="2:8" s="6" customFormat="1" ht="17.399999999999999" x14ac:dyDescent="0.4">
      <c r="C5" s="7"/>
      <c r="D5" s="7"/>
      <c r="E5" s="7"/>
    </row>
    <row r="6" spans="2:8" s="6" customFormat="1" ht="43.5" customHeight="1" x14ac:dyDescent="0.4">
      <c r="B6" s="69" t="s">
        <v>1</v>
      </c>
      <c r="C6" s="37" t="str">
        <f>'Nivel 1'!C9</f>
        <v>Oficina Central</v>
      </c>
      <c r="D6" s="71" t="s">
        <v>6</v>
      </c>
      <c r="E6" s="37" t="str">
        <f>'Nivel 1'!E9</f>
        <v>Bimbo</v>
      </c>
      <c r="F6" s="89" t="s">
        <v>18</v>
      </c>
      <c r="G6" s="89"/>
    </row>
    <row r="7" spans="2:8" s="6" customFormat="1" ht="34.799999999999997" x14ac:dyDescent="0.4">
      <c r="B7" s="69" t="s">
        <v>2</v>
      </c>
      <c r="C7" s="37" t="str">
        <f>'Nivel 1'!C10</f>
        <v>Franklin Bratta</v>
      </c>
      <c r="D7" s="72" t="s">
        <v>5</v>
      </c>
      <c r="E7" s="37">
        <f>'Nivel 1'!E10</f>
        <v>45763</v>
      </c>
      <c r="F7" s="90"/>
      <c r="G7" s="90"/>
    </row>
    <row r="8" spans="2:8" s="6" customFormat="1" ht="39" customHeight="1" x14ac:dyDescent="0.4">
      <c r="B8" s="70" t="s">
        <v>20</v>
      </c>
      <c r="C8" s="37" t="str">
        <f>'Nivel 1'!C11</f>
        <v>Loreto lopez</v>
      </c>
      <c r="D8" s="69" t="s">
        <v>4</v>
      </c>
      <c r="E8" s="37">
        <f>'Nivel 1'!E11</f>
        <v>0.5</v>
      </c>
      <c r="F8" s="89" t="s">
        <v>17</v>
      </c>
      <c r="G8" s="89"/>
      <c r="H8" s="45" t="s">
        <v>27</v>
      </c>
    </row>
    <row r="9" spans="2:8" s="6" customFormat="1" ht="30.75" customHeight="1" x14ac:dyDescent="0.4">
      <c r="B9" s="69" t="s">
        <v>3</v>
      </c>
      <c r="C9" s="37">
        <f>'Nivel 1'!C12</f>
        <v>45763</v>
      </c>
      <c r="D9" s="69" t="s">
        <v>7</v>
      </c>
      <c r="E9" s="37">
        <f>'Nivel 1'!E12</f>
        <v>0.75</v>
      </c>
      <c r="F9" s="91" t="str">
        <f>G20</f>
        <v>NA</v>
      </c>
      <c r="G9" s="92"/>
      <c r="H9" s="45" t="s">
        <v>28</v>
      </c>
    </row>
    <row r="10" spans="2:8" x14ac:dyDescent="0.35">
      <c r="H10" s="42" t="s">
        <v>29</v>
      </c>
    </row>
    <row r="11" spans="2:8" s="9" customFormat="1" ht="31.2" x14ac:dyDescent="0.35">
      <c r="B11" s="86" t="s">
        <v>10</v>
      </c>
      <c r="C11" s="86"/>
      <c r="D11" s="74" t="s">
        <v>0</v>
      </c>
      <c r="E11" s="93" t="s">
        <v>114</v>
      </c>
      <c r="F11" s="93"/>
      <c r="G11" s="74" t="s">
        <v>16</v>
      </c>
    </row>
    <row r="12" spans="2:8" ht="50.1" customHeight="1" x14ac:dyDescent="0.35">
      <c r="B12" s="85" t="s">
        <v>347</v>
      </c>
      <c r="C12" s="85"/>
      <c r="D12" s="40"/>
      <c r="E12" s="88"/>
      <c r="F12" s="88"/>
      <c r="G12" s="40" t="str">
        <f>IF(D12="Cumple",1,IF(D12="No Cumple",0,"NA"))</f>
        <v>NA</v>
      </c>
    </row>
    <row r="13" spans="2:8" ht="50.1" customHeight="1" x14ac:dyDescent="0.35">
      <c r="B13" s="85" t="s">
        <v>379</v>
      </c>
      <c r="C13" s="85" t="s">
        <v>348</v>
      </c>
      <c r="D13" s="40"/>
      <c r="E13" s="88"/>
      <c r="F13" s="88"/>
      <c r="G13" s="40" t="str">
        <f t="shared" ref="G13:G14" si="0">IF(D13="Cumple",1,IF(D13="No Cumple",0,"NA"))</f>
        <v>NA</v>
      </c>
    </row>
    <row r="14" spans="2:8" ht="50.1" customHeight="1" x14ac:dyDescent="0.35">
      <c r="B14" s="85" t="s">
        <v>380</v>
      </c>
      <c r="C14" s="85" t="s">
        <v>349</v>
      </c>
      <c r="D14" s="40"/>
      <c r="E14" s="88"/>
      <c r="F14" s="88"/>
      <c r="G14" s="40" t="str">
        <f t="shared" si="0"/>
        <v>NA</v>
      </c>
    </row>
    <row r="15" spans="2:8" ht="50.1" customHeight="1" x14ac:dyDescent="0.35">
      <c r="B15" s="85" t="s">
        <v>381</v>
      </c>
      <c r="C15" s="85" t="s">
        <v>350</v>
      </c>
      <c r="D15" s="40"/>
      <c r="E15" s="88"/>
      <c r="F15" s="88"/>
      <c r="G15" s="40" t="str">
        <f>IF(D15="Cumple",1,IF(D15="No Cumple",0,"NA"))</f>
        <v>NA</v>
      </c>
    </row>
    <row r="16" spans="2:8" ht="50.1" customHeight="1" x14ac:dyDescent="0.35">
      <c r="B16" s="87" t="s">
        <v>351</v>
      </c>
      <c r="C16" s="87"/>
      <c r="D16" s="40"/>
      <c r="E16" s="88"/>
      <c r="F16" s="88"/>
      <c r="G16" s="40" t="str">
        <f>IF(D16="Cumple",1,IF(D16="No Cumple",0,"NA"))</f>
        <v>NA</v>
      </c>
    </row>
    <row r="17" spans="2:7" ht="50.1" customHeight="1" x14ac:dyDescent="0.35">
      <c r="B17" s="87" t="s">
        <v>352</v>
      </c>
      <c r="C17" s="87"/>
      <c r="D17" s="40"/>
      <c r="E17" s="88"/>
      <c r="F17" s="88"/>
      <c r="G17" s="40" t="str">
        <f>IF(D17="Cumple",1,IF(D17="No Cumple",0,"NA"))</f>
        <v>NA</v>
      </c>
    </row>
    <row r="18" spans="2:7" ht="50.1" customHeight="1" x14ac:dyDescent="0.35">
      <c r="B18" s="85" t="s">
        <v>353</v>
      </c>
      <c r="C18" s="85" t="s">
        <v>354</v>
      </c>
      <c r="D18" s="40"/>
      <c r="E18" s="88"/>
      <c r="F18" s="88"/>
      <c r="G18" s="40" t="str">
        <f>IF(D18="Cumple",1,IF(D18="No Cumple",0,"NA"))</f>
        <v>NA</v>
      </c>
    </row>
    <row r="19" spans="2:7" x14ac:dyDescent="0.35">
      <c r="F19" s="86" t="s">
        <v>15</v>
      </c>
      <c r="G19" s="40">
        <f>SUMIF(G12:G18,"&lt;2")</f>
        <v>0</v>
      </c>
    </row>
    <row r="20" spans="2:7" x14ac:dyDescent="0.35">
      <c r="F20" s="86"/>
      <c r="G20" s="41" t="str">
        <f>IFERROR((G19*1)/(COUNTIF(G12:G18,"&lt;2")),"NA")</f>
        <v>NA</v>
      </c>
    </row>
  </sheetData>
  <mergeCells count="21">
    <mergeCell ref="F19:F20"/>
    <mergeCell ref="E15:F15"/>
    <mergeCell ref="F6:G6"/>
    <mergeCell ref="F8:G8"/>
    <mergeCell ref="F7:G7"/>
    <mergeCell ref="F9:G9"/>
    <mergeCell ref="E12:F12"/>
    <mergeCell ref="E13:F13"/>
    <mergeCell ref="E14:F14"/>
    <mergeCell ref="E18:F18"/>
    <mergeCell ref="E16:F16"/>
    <mergeCell ref="E17:F17"/>
    <mergeCell ref="E11:F11"/>
    <mergeCell ref="B13:C13"/>
    <mergeCell ref="B14:C14"/>
    <mergeCell ref="B18:C18"/>
    <mergeCell ref="B15:C15"/>
    <mergeCell ref="B11:C11"/>
    <mergeCell ref="B12:C12"/>
    <mergeCell ref="B16:C16"/>
    <mergeCell ref="B17:C17"/>
  </mergeCells>
  <dataValidations count="1">
    <dataValidation type="list" allowBlank="1" showInputMessage="1" showErrorMessage="1" sqref="D12:D18" xr:uid="{00000000-0002-0000-0500-000000000000}">
      <formula1>$H$8:$H$10</formula1>
    </dataValidation>
  </dataValidations>
  <pageMargins left="0.7" right="0.7" top="0.75" bottom="0.75" header="0.3" footer="0.3"/>
  <pageSetup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29"/>
  <dimension ref="B3:H28"/>
  <sheetViews>
    <sheetView showGridLines="0" topLeftCell="A18" zoomScaleNormal="100" workbookViewId="0">
      <selection activeCell="K7" sqref="K7"/>
    </sheetView>
  </sheetViews>
  <sheetFormatPr baseColWidth="10" defaultColWidth="11.44140625" defaultRowHeight="15.6" x14ac:dyDescent="0.35"/>
  <cols>
    <col min="1" max="1" width="2.6640625" style="1" customWidth="1"/>
    <col min="2" max="2" width="27.88671875" style="1" customWidth="1"/>
    <col min="3" max="3" width="50.6640625" style="1" customWidth="1"/>
    <col min="4" max="4" width="26.33203125" style="1" customWidth="1"/>
    <col min="5" max="5" width="51.5546875" style="1" customWidth="1"/>
    <col min="6" max="6" width="22.44140625" style="1" customWidth="1"/>
    <col min="7" max="7" width="11.44140625" style="1"/>
    <col min="8" max="8" width="0" style="42" hidden="1" customWidth="1"/>
    <col min="9" max="16384" width="11.44140625" style="1"/>
  </cols>
  <sheetData>
    <row r="3" spans="2:8" s="5" customFormat="1" ht="35.25" customHeight="1" x14ac:dyDescent="0.4">
      <c r="C3" s="34"/>
      <c r="D3" s="34"/>
      <c r="E3" s="34"/>
      <c r="F3" s="35"/>
      <c r="G3" s="35"/>
      <c r="H3" s="56"/>
    </row>
    <row r="4" spans="2:8" s="5" customFormat="1" ht="35.25" customHeight="1" x14ac:dyDescent="0.4">
      <c r="C4" s="2"/>
      <c r="D4" s="3"/>
      <c r="E4" s="3"/>
      <c r="F4" s="44"/>
      <c r="G4" s="44"/>
      <c r="H4" s="56"/>
    </row>
    <row r="5" spans="2:8" s="6" customFormat="1" ht="17.399999999999999" x14ac:dyDescent="0.4">
      <c r="C5" s="7"/>
      <c r="D5" s="7"/>
      <c r="E5" s="7"/>
      <c r="H5" s="45"/>
    </row>
    <row r="6" spans="2:8" s="6" customFormat="1" ht="31.5" customHeight="1" x14ac:dyDescent="0.4">
      <c r="B6" s="69" t="s">
        <v>1</v>
      </c>
      <c r="C6" s="37" t="str">
        <f>'Nivel 1'!C9</f>
        <v>Oficina Central</v>
      </c>
      <c r="D6" s="71" t="s">
        <v>6</v>
      </c>
      <c r="E6" s="37" t="str">
        <f>'Nivel 1'!E9</f>
        <v>Bimbo</v>
      </c>
      <c r="F6" s="89" t="s">
        <v>18</v>
      </c>
      <c r="G6" s="89"/>
      <c r="H6" s="45"/>
    </row>
    <row r="7" spans="2:8" s="6" customFormat="1" ht="34.799999999999997" x14ac:dyDescent="0.4">
      <c r="B7" s="69" t="s">
        <v>2</v>
      </c>
      <c r="C7" s="37" t="str">
        <f>'Nivel 1'!C10</f>
        <v>Franklin Bratta</v>
      </c>
      <c r="D7" s="72" t="s">
        <v>5</v>
      </c>
      <c r="E7" s="37">
        <f>'Nivel 1'!E10</f>
        <v>45763</v>
      </c>
      <c r="F7" s="90"/>
      <c r="G7" s="90"/>
      <c r="H7" s="45"/>
    </row>
    <row r="8" spans="2:8" s="6" customFormat="1" ht="39" customHeight="1" x14ac:dyDescent="0.4">
      <c r="B8" s="70" t="s">
        <v>20</v>
      </c>
      <c r="C8" s="37" t="str">
        <f>'Nivel 1'!C11</f>
        <v>Loreto lopez</v>
      </c>
      <c r="D8" s="69" t="s">
        <v>4</v>
      </c>
      <c r="E8" s="37">
        <f>'Nivel 1'!E11</f>
        <v>0.5</v>
      </c>
      <c r="F8" s="89" t="s">
        <v>17</v>
      </c>
      <c r="G8" s="89"/>
      <c r="H8" s="45" t="s">
        <v>27</v>
      </c>
    </row>
    <row r="9" spans="2:8" s="6" customFormat="1" ht="27.75" customHeight="1" x14ac:dyDescent="0.4">
      <c r="B9" s="69" t="s">
        <v>3</v>
      </c>
      <c r="C9" s="37">
        <f>'Nivel 1'!C12</f>
        <v>45763</v>
      </c>
      <c r="D9" s="69" t="s">
        <v>7</v>
      </c>
      <c r="E9" s="37">
        <f>'Nivel 1'!E12</f>
        <v>0.75</v>
      </c>
      <c r="F9" s="91" t="str">
        <f>G28</f>
        <v>NA</v>
      </c>
      <c r="G9" s="92"/>
      <c r="H9" s="45" t="s">
        <v>28</v>
      </c>
    </row>
    <row r="10" spans="2:8" x14ac:dyDescent="0.35">
      <c r="H10" s="42" t="s">
        <v>29</v>
      </c>
    </row>
    <row r="11" spans="2:8" s="9" customFormat="1" ht="31.2" x14ac:dyDescent="0.35">
      <c r="B11" s="86" t="s">
        <v>11</v>
      </c>
      <c r="C11" s="86"/>
      <c r="D11" s="74" t="s">
        <v>0</v>
      </c>
      <c r="E11" s="93" t="s">
        <v>114</v>
      </c>
      <c r="F11" s="93"/>
      <c r="G11" s="74" t="s">
        <v>16</v>
      </c>
      <c r="H11" s="46"/>
    </row>
    <row r="12" spans="2:8" ht="50.1" customHeight="1" x14ac:dyDescent="0.35">
      <c r="B12" s="85" t="s">
        <v>319</v>
      </c>
      <c r="C12" s="85"/>
      <c r="D12" s="40"/>
      <c r="E12" s="88"/>
      <c r="F12" s="88"/>
      <c r="G12" s="40" t="str">
        <f>IF(D12="Cumple",1,IF(D12="No Cumple",0,"NA"))</f>
        <v>NA</v>
      </c>
    </row>
    <row r="13" spans="2:8" ht="50.1" customHeight="1" x14ac:dyDescent="0.35">
      <c r="B13" s="85" t="s">
        <v>320</v>
      </c>
      <c r="C13" s="85" t="s">
        <v>321</v>
      </c>
      <c r="D13" s="40"/>
      <c r="E13" s="88"/>
      <c r="F13" s="88"/>
      <c r="G13" s="40" t="str">
        <f t="shared" ref="G13:G26" si="0">IF(D13="Cumple",1,IF(D13="No Cumple",0,"NA"))</f>
        <v>NA</v>
      </c>
    </row>
    <row r="14" spans="2:8" ht="67.2" customHeight="1" x14ac:dyDescent="0.35">
      <c r="B14" s="85" t="s">
        <v>322</v>
      </c>
      <c r="C14" s="85" t="s">
        <v>323</v>
      </c>
      <c r="D14" s="40"/>
      <c r="E14" s="88"/>
      <c r="F14" s="88"/>
      <c r="G14" s="40" t="str">
        <f t="shared" si="0"/>
        <v>NA</v>
      </c>
    </row>
    <row r="15" spans="2:8" ht="50.1" customHeight="1" x14ac:dyDescent="0.35">
      <c r="B15" s="85" t="s">
        <v>382</v>
      </c>
      <c r="C15" s="85" t="s">
        <v>324</v>
      </c>
      <c r="D15" s="40"/>
      <c r="E15" s="88"/>
      <c r="F15" s="88"/>
      <c r="G15" s="40" t="str">
        <f t="shared" si="0"/>
        <v>NA</v>
      </c>
    </row>
    <row r="16" spans="2:8" ht="50.1" customHeight="1" x14ac:dyDescent="0.35">
      <c r="B16" s="85" t="s">
        <v>325</v>
      </c>
      <c r="C16" s="85" t="s">
        <v>326</v>
      </c>
      <c r="D16" s="40"/>
      <c r="E16" s="88"/>
      <c r="F16" s="88"/>
      <c r="G16" s="40" t="str">
        <f t="shared" si="0"/>
        <v>NA</v>
      </c>
    </row>
    <row r="17" spans="2:7" ht="50.1" customHeight="1" x14ac:dyDescent="0.35">
      <c r="B17" s="85" t="s">
        <v>327</v>
      </c>
      <c r="C17" s="85" t="s">
        <v>328</v>
      </c>
      <c r="D17" s="40"/>
      <c r="E17" s="88"/>
      <c r="F17" s="88"/>
      <c r="G17" s="40" t="str">
        <f t="shared" si="0"/>
        <v>NA</v>
      </c>
    </row>
    <row r="18" spans="2:7" ht="50.1" customHeight="1" x14ac:dyDescent="0.35">
      <c r="B18" s="85" t="s">
        <v>329</v>
      </c>
      <c r="C18" s="85" t="s">
        <v>330</v>
      </c>
      <c r="D18" s="40"/>
      <c r="E18" s="88"/>
      <c r="F18" s="88"/>
      <c r="G18" s="40" t="str">
        <f t="shared" si="0"/>
        <v>NA</v>
      </c>
    </row>
    <row r="19" spans="2:7" ht="50.1" customHeight="1" x14ac:dyDescent="0.35">
      <c r="B19" s="85" t="s">
        <v>331</v>
      </c>
      <c r="C19" s="85" t="s">
        <v>332</v>
      </c>
      <c r="D19" s="40"/>
      <c r="E19" s="88"/>
      <c r="F19" s="88"/>
      <c r="G19" s="40" t="str">
        <f t="shared" si="0"/>
        <v>NA</v>
      </c>
    </row>
    <row r="20" spans="2:7" ht="50.1" customHeight="1" x14ac:dyDescent="0.35">
      <c r="B20" s="85" t="s">
        <v>333</v>
      </c>
      <c r="C20" s="85" t="s">
        <v>334</v>
      </c>
      <c r="D20" s="40"/>
      <c r="E20" s="88"/>
      <c r="F20" s="88"/>
      <c r="G20" s="40" t="str">
        <f t="shared" si="0"/>
        <v>NA</v>
      </c>
    </row>
    <row r="21" spans="2:7" ht="50.1" customHeight="1" x14ac:dyDescent="0.35">
      <c r="B21" s="85" t="s">
        <v>335</v>
      </c>
      <c r="C21" s="85" t="s">
        <v>336</v>
      </c>
      <c r="D21" s="40"/>
      <c r="E21" s="88"/>
      <c r="F21" s="88"/>
      <c r="G21" s="40" t="str">
        <f t="shared" si="0"/>
        <v>NA</v>
      </c>
    </row>
    <row r="22" spans="2:7" ht="50.1" customHeight="1" x14ac:dyDescent="0.35">
      <c r="B22" s="85" t="s">
        <v>337</v>
      </c>
      <c r="C22" s="85" t="s">
        <v>338</v>
      </c>
      <c r="D22" s="40"/>
      <c r="E22" s="88"/>
      <c r="F22" s="88"/>
      <c r="G22" s="40" t="str">
        <f t="shared" si="0"/>
        <v>NA</v>
      </c>
    </row>
    <row r="23" spans="2:7" ht="50.1" customHeight="1" x14ac:dyDescent="0.35">
      <c r="B23" s="85" t="s">
        <v>339</v>
      </c>
      <c r="C23" s="85" t="s">
        <v>340</v>
      </c>
      <c r="D23" s="40"/>
      <c r="E23" s="88"/>
      <c r="F23" s="88"/>
      <c r="G23" s="40" t="str">
        <f t="shared" si="0"/>
        <v>NA</v>
      </c>
    </row>
    <row r="24" spans="2:7" ht="50.1" customHeight="1" x14ac:dyDescent="0.35">
      <c r="B24" s="85" t="s">
        <v>341</v>
      </c>
      <c r="C24" s="85" t="s">
        <v>342</v>
      </c>
      <c r="D24" s="40"/>
      <c r="E24" s="88"/>
      <c r="F24" s="88"/>
      <c r="G24" s="40" t="str">
        <f t="shared" si="0"/>
        <v>NA</v>
      </c>
    </row>
    <row r="25" spans="2:7" ht="50.1" customHeight="1" x14ac:dyDescent="0.35">
      <c r="B25" s="85" t="s">
        <v>343</v>
      </c>
      <c r="C25" s="85" t="s">
        <v>344</v>
      </c>
      <c r="D25" s="40"/>
      <c r="E25" s="88"/>
      <c r="F25" s="88"/>
      <c r="G25" s="40" t="str">
        <f t="shared" si="0"/>
        <v>NA</v>
      </c>
    </row>
    <row r="26" spans="2:7" ht="50.1" customHeight="1" x14ac:dyDescent="0.35">
      <c r="B26" s="85" t="s">
        <v>345</v>
      </c>
      <c r="C26" s="85" t="s">
        <v>346</v>
      </c>
      <c r="D26" s="40"/>
      <c r="E26" s="88"/>
      <c r="F26" s="88"/>
      <c r="G26" s="40" t="str">
        <f t="shared" si="0"/>
        <v>NA</v>
      </c>
    </row>
    <row r="27" spans="2:7" ht="30" customHeight="1" x14ac:dyDescent="0.35">
      <c r="F27" s="98" t="s">
        <v>15</v>
      </c>
      <c r="G27" s="55">
        <f>SUMIF(G12:G26,"&lt;2")</f>
        <v>0</v>
      </c>
    </row>
    <row r="28" spans="2:7" x14ac:dyDescent="0.35">
      <c r="F28" s="86"/>
      <c r="G28" s="41" t="str">
        <f>IFERROR((G27*1)/(COUNTIF(G12:G26,"&lt;2")),"NA")</f>
        <v>NA</v>
      </c>
    </row>
  </sheetData>
  <mergeCells count="37">
    <mergeCell ref="F27:F28"/>
    <mergeCell ref="E24:F24"/>
    <mergeCell ref="E25:F25"/>
    <mergeCell ref="E26:F26"/>
    <mergeCell ref="E12:F12"/>
    <mergeCell ref="E23:F23"/>
    <mergeCell ref="E19:F19"/>
    <mergeCell ref="E15:F15"/>
    <mergeCell ref="E16:F16"/>
    <mergeCell ref="E17:F17"/>
    <mergeCell ref="E18:F18"/>
    <mergeCell ref="E20:F20"/>
    <mergeCell ref="E21:F21"/>
    <mergeCell ref="E22:F22"/>
    <mergeCell ref="B21:C21"/>
    <mergeCell ref="B16:C16"/>
    <mergeCell ref="B17:C17"/>
    <mergeCell ref="B18:C18"/>
    <mergeCell ref="B19:C19"/>
    <mergeCell ref="B20:C20"/>
    <mergeCell ref="B13:C13"/>
    <mergeCell ref="B14:C14"/>
    <mergeCell ref="B15:C15"/>
    <mergeCell ref="E13:F13"/>
    <mergeCell ref="E14:F14"/>
    <mergeCell ref="B26:C26"/>
    <mergeCell ref="B22:C22"/>
    <mergeCell ref="B23:C23"/>
    <mergeCell ref="B24:C24"/>
    <mergeCell ref="B25:C25"/>
    <mergeCell ref="E11:F11"/>
    <mergeCell ref="B12:C12"/>
    <mergeCell ref="F6:G6"/>
    <mergeCell ref="F8:G8"/>
    <mergeCell ref="F9:G9"/>
    <mergeCell ref="F7:G7"/>
    <mergeCell ref="B11:C11"/>
  </mergeCells>
  <dataValidations count="1">
    <dataValidation type="list" allowBlank="1" showInputMessage="1" showErrorMessage="1" sqref="D12:D26" xr:uid="{00000000-0002-0000-0600-000000000000}">
      <formula1>$H$8:$H$10</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27"/>
  <dimension ref="A3:H21"/>
  <sheetViews>
    <sheetView showGridLines="0" topLeftCell="A16" zoomScaleNormal="100" workbookViewId="0">
      <selection activeCell="L9" sqref="L9"/>
    </sheetView>
  </sheetViews>
  <sheetFormatPr baseColWidth="10" defaultColWidth="11.44140625" defaultRowHeight="15.6" x14ac:dyDescent="0.35"/>
  <cols>
    <col min="1" max="1" width="3.109375" style="1" customWidth="1"/>
    <col min="2" max="2" width="34.33203125" style="1" customWidth="1"/>
    <col min="3" max="3" width="50.6640625" style="1" customWidth="1"/>
    <col min="4" max="4" width="25.44140625" style="1" customWidth="1"/>
    <col min="5" max="5" width="51.5546875" style="1" customWidth="1"/>
    <col min="6" max="6" width="24.44140625" style="1" customWidth="1"/>
    <col min="7" max="7" width="13.6640625" style="1" customWidth="1"/>
    <col min="8" max="8" width="0" style="42" hidden="1" customWidth="1"/>
    <col min="9" max="16384" width="11.44140625" style="1"/>
  </cols>
  <sheetData>
    <row r="3" spans="1:8" s="36" customFormat="1" ht="35.25" customHeight="1" x14ac:dyDescent="0.4">
      <c r="A3" s="5"/>
      <c r="B3" s="5"/>
      <c r="C3" s="34"/>
      <c r="D3" s="34"/>
      <c r="E3" s="34"/>
      <c r="F3" s="35"/>
      <c r="G3" s="35"/>
      <c r="H3" s="43"/>
    </row>
    <row r="4" spans="1:8" s="36" customFormat="1" ht="35.25" customHeight="1" x14ac:dyDescent="0.4">
      <c r="A4" s="5"/>
      <c r="B4" s="5"/>
      <c r="C4" s="2"/>
      <c r="D4" s="3"/>
      <c r="E4" s="3"/>
      <c r="F4" s="44"/>
      <c r="G4" s="44"/>
      <c r="H4" s="43"/>
    </row>
    <row r="5" spans="1:8" s="6" customFormat="1" ht="17.399999999999999" x14ac:dyDescent="0.4">
      <c r="C5" s="7"/>
      <c r="D5" s="7"/>
      <c r="E5" s="7"/>
      <c r="H5" s="45"/>
    </row>
    <row r="6" spans="1:8" s="6" customFormat="1" ht="31.5" customHeight="1" x14ac:dyDescent="0.4">
      <c r="B6" s="69" t="s">
        <v>1</v>
      </c>
      <c r="C6" s="37" t="str">
        <f>'Nivel 1'!C9</f>
        <v>Oficina Central</v>
      </c>
      <c r="D6" s="71" t="s">
        <v>6</v>
      </c>
      <c r="E6" s="37" t="str">
        <f>'Nivel 1'!E9</f>
        <v>Bimbo</v>
      </c>
      <c r="F6" s="89" t="s">
        <v>18</v>
      </c>
      <c r="G6" s="89"/>
      <c r="H6" s="45"/>
    </row>
    <row r="7" spans="1:8" s="6" customFormat="1" ht="34.799999999999997" x14ac:dyDescent="0.4">
      <c r="B7" s="69" t="s">
        <v>2</v>
      </c>
      <c r="C7" s="37" t="str">
        <f>'Nivel 1'!C10</f>
        <v>Franklin Bratta</v>
      </c>
      <c r="D7" s="72" t="s">
        <v>5</v>
      </c>
      <c r="E7" s="37">
        <f>'Nivel 1'!E10</f>
        <v>45763</v>
      </c>
      <c r="F7" s="90"/>
      <c r="G7" s="90"/>
      <c r="H7" s="45"/>
    </row>
    <row r="8" spans="1:8" s="6" customFormat="1" ht="34.799999999999997" x14ac:dyDescent="0.4">
      <c r="B8" s="70" t="s">
        <v>20</v>
      </c>
      <c r="C8" s="37" t="str">
        <f>'Nivel 1'!C11</f>
        <v>Loreto lopez</v>
      </c>
      <c r="D8" s="69" t="s">
        <v>4</v>
      </c>
      <c r="E8" s="37">
        <f>'Nivel 1'!E11</f>
        <v>0.5</v>
      </c>
      <c r="F8" s="89" t="s">
        <v>17</v>
      </c>
      <c r="G8" s="89"/>
      <c r="H8" s="45" t="s">
        <v>27</v>
      </c>
    </row>
    <row r="9" spans="1:8" s="6" customFormat="1" ht="25.5" customHeight="1" x14ac:dyDescent="0.4">
      <c r="B9" s="69" t="s">
        <v>3</v>
      </c>
      <c r="C9" s="37">
        <f>'Nivel 1'!C12</f>
        <v>45763</v>
      </c>
      <c r="D9" s="69" t="s">
        <v>7</v>
      </c>
      <c r="E9" s="37">
        <f>'Nivel 1'!E12</f>
        <v>0.75</v>
      </c>
      <c r="F9" s="91" t="str">
        <f>G21</f>
        <v>NA</v>
      </c>
      <c r="G9" s="92"/>
      <c r="H9" s="45" t="s">
        <v>28</v>
      </c>
    </row>
    <row r="10" spans="1:8" x14ac:dyDescent="0.35">
      <c r="H10" s="42" t="s">
        <v>29</v>
      </c>
    </row>
    <row r="11" spans="1:8" s="9" customFormat="1" ht="39.75" customHeight="1" x14ac:dyDescent="0.35">
      <c r="B11" s="86" t="s">
        <v>12</v>
      </c>
      <c r="C11" s="86"/>
      <c r="D11" s="74" t="s">
        <v>0</v>
      </c>
      <c r="E11" s="93" t="s">
        <v>114</v>
      </c>
      <c r="F11" s="93"/>
      <c r="G11" s="74" t="s">
        <v>16</v>
      </c>
      <c r="H11" s="46"/>
    </row>
    <row r="12" spans="1:8" ht="50.1" customHeight="1" x14ac:dyDescent="0.35">
      <c r="B12" s="85" t="s">
        <v>305</v>
      </c>
      <c r="C12" s="85"/>
      <c r="D12" s="40"/>
      <c r="E12" s="88"/>
      <c r="F12" s="88"/>
      <c r="G12" s="40" t="str">
        <f>IF(D12="Cumple",1,IF(D12="No Cumple",0,"NA"))</f>
        <v>NA</v>
      </c>
    </row>
    <row r="13" spans="1:8" ht="50.1" customHeight="1" x14ac:dyDescent="0.35">
      <c r="B13" s="85" t="s">
        <v>306</v>
      </c>
      <c r="C13" s="85"/>
      <c r="D13" s="40"/>
      <c r="E13" s="88"/>
      <c r="F13" s="88"/>
      <c r="G13" s="40" t="str">
        <f>IF(D13="Cumple",1,IF(D13="No Cumple",0,"NA"))</f>
        <v>NA</v>
      </c>
    </row>
    <row r="14" spans="1:8" ht="117" customHeight="1" x14ac:dyDescent="0.35">
      <c r="B14" s="85" t="s">
        <v>307</v>
      </c>
      <c r="C14" s="85" t="s">
        <v>308</v>
      </c>
      <c r="D14" s="40"/>
      <c r="E14" s="88"/>
      <c r="F14" s="88"/>
      <c r="G14" s="40" t="str">
        <f t="shared" ref="G14:G19" si="0">IF(D14="Cumple",1,IF(D14="No Cumple",0,"NA"))</f>
        <v>NA</v>
      </c>
    </row>
    <row r="15" spans="1:8" ht="105.75" customHeight="1" x14ac:dyDescent="0.35">
      <c r="B15" s="85" t="s">
        <v>309</v>
      </c>
      <c r="C15" s="85" t="s">
        <v>310</v>
      </c>
      <c r="D15" s="40"/>
      <c r="E15" s="88"/>
      <c r="F15" s="88"/>
      <c r="G15" s="40" t="str">
        <f t="shared" si="0"/>
        <v>NA</v>
      </c>
    </row>
    <row r="16" spans="1:8" ht="153" customHeight="1" x14ac:dyDescent="0.35">
      <c r="B16" s="85" t="s">
        <v>311</v>
      </c>
      <c r="C16" s="85" t="s">
        <v>312</v>
      </c>
      <c r="D16" s="40"/>
      <c r="E16" s="88"/>
      <c r="F16" s="88"/>
      <c r="G16" s="40" t="str">
        <f t="shared" si="0"/>
        <v>NA</v>
      </c>
    </row>
    <row r="17" spans="2:7" ht="96" customHeight="1" x14ac:dyDescent="0.35">
      <c r="B17" s="85" t="s">
        <v>313</v>
      </c>
      <c r="C17" s="85" t="s">
        <v>314</v>
      </c>
      <c r="D17" s="40"/>
      <c r="E17" s="88"/>
      <c r="F17" s="88"/>
      <c r="G17" s="40" t="str">
        <f t="shared" si="0"/>
        <v>NA</v>
      </c>
    </row>
    <row r="18" spans="2:7" ht="98.25" customHeight="1" x14ac:dyDescent="0.35">
      <c r="B18" s="85" t="s">
        <v>315</v>
      </c>
      <c r="C18" s="85" t="s">
        <v>316</v>
      </c>
      <c r="D18" s="40"/>
      <c r="E18" s="88"/>
      <c r="F18" s="88"/>
      <c r="G18" s="40" t="str">
        <f t="shared" si="0"/>
        <v>NA</v>
      </c>
    </row>
    <row r="19" spans="2:7" ht="74.25" customHeight="1" x14ac:dyDescent="0.35">
      <c r="B19" s="85" t="s">
        <v>317</v>
      </c>
      <c r="C19" s="85" t="s">
        <v>318</v>
      </c>
      <c r="D19" s="40"/>
      <c r="E19" s="88"/>
      <c r="F19" s="88"/>
      <c r="G19" s="40" t="str">
        <f t="shared" si="0"/>
        <v>NA</v>
      </c>
    </row>
    <row r="20" spans="2:7" x14ac:dyDescent="0.35">
      <c r="F20" s="86" t="s">
        <v>15</v>
      </c>
      <c r="G20" s="40">
        <f>SUMIF(G12:G19,"&lt;2")</f>
        <v>0</v>
      </c>
    </row>
    <row r="21" spans="2:7" x14ac:dyDescent="0.35">
      <c r="F21" s="86"/>
      <c r="G21" s="41" t="str">
        <f>IFERROR((G20*1)/(COUNTIF(G12:G19,"&lt;2")),"NA")</f>
        <v>NA</v>
      </c>
    </row>
  </sheetData>
  <mergeCells count="23">
    <mergeCell ref="F20:F21"/>
    <mergeCell ref="F6:G6"/>
    <mergeCell ref="F8:G8"/>
    <mergeCell ref="F7:G7"/>
    <mergeCell ref="F9:G9"/>
    <mergeCell ref="E12:F12"/>
    <mergeCell ref="E14:F14"/>
    <mergeCell ref="E15:F15"/>
    <mergeCell ref="E16:F16"/>
    <mergeCell ref="E17:F17"/>
    <mergeCell ref="E18:F18"/>
    <mergeCell ref="E19:F19"/>
    <mergeCell ref="E13:F13"/>
    <mergeCell ref="B19:C19"/>
    <mergeCell ref="B15:C15"/>
    <mergeCell ref="B16:C16"/>
    <mergeCell ref="B17:C17"/>
    <mergeCell ref="B18:C18"/>
    <mergeCell ref="B14:C14"/>
    <mergeCell ref="B11:C11"/>
    <mergeCell ref="E11:F11"/>
    <mergeCell ref="B12:C12"/>
    <mergeCell ref="B13:C13"/>
  </mergeCells>
  <dataValidations count="1">
    <dataValidation type="list" allowBlank="1" showInputMessage="1" showErrorMessage="1" sqref="D12:D19" xr:uid="{00000000-0002-0000-0700-000000000000}">
      <formula1>$H$8:$H$10</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1"/>
  <dimension ref="A3:H25"/>
  <sheetViews>
    <sheetView showGridLines="0" topLeftCell="A14" zoomScaleNormal="100" workbookViewId="0">
      <selection activeCell="J13" sqref="J13"/>
    </sheetView>
  </sheetViews>
  <sheetFormatPr baseColWidth="10" defaultColWidth="11.44140625" defaultRowHeight="15.6" x14ac:dyDescent="0.35"/>
  <cols>
    <col min="1" max="1" width="2" style="1" customWidth="1"/>
    <col min="2" max="2" width="36.109375" style="1" customWidth="1"/>
    <col min="3" max="3" width="50.6640625" style="1" customWidth="1"/>
    <col min="4" max="4" width="33.33203125" style="1" customWidth="1"/>
    <col min="5" max="5" width="51.5546875" style="1" customWidth="1"/>
    <col min="6" max="6" width="24.6640625" style="1" customWidth="1"/>
    <col min="7" max="7" width="11.44140625" style="1"/>
    <col min="8" max="8" width="0" style="42" hidden="1" customWidth="1"/>
    <col min="9" max="16384" width="11.44140625" style="1"/>
  </cols>
  <sheetData>
    <row r="3" spans="1:8" s="36" customFormat="1" ht="35.25" customHeight="1" x14ac:dyDescent="0.4">
      <c r="A3" s="5"/>
      <c r="B3" s="5"/>
      <c r="C3" s="34"/>
      <c r="D3" s="34"/>
      <c r="E3" s="34"/>
      <c r="F3" s="35"/>
      <c r="G3" s="35"/>
      <c r="H3" s="43"/>
    </row>
    <row r="4" spans="1:8" s="36" customFormat="1" ht="35.25" customHeight="1" x14ac:dyDescent="0.4">
      <c r="A4" s="5"/>
      <c r="B4" s="5"/>
      <c r="C4" s="2"/>
      <c r="D4" s="3"/>
      <c r="E4" s="3"/>
      <c r="F4" s="44"/>
      <c r="G4" s="44"/>
      <c r="H4" s="43"/>
    </row>
    <row r="5" spans="1:8" s="6" customFormat="1" ht="17.399999999999999" x14ac:dyDescent="0.4">
      <c r="C5" s="7"/>
      <c r="D5" s="7"/>
      <c r="E5" s="7"/>
      <c r="H5" s="45"/>
    </row>
    <row r="6" spans="1:8" s="6" customFormat="1" ht="31.5" customHeight="1" x14ac:dyDescent="0.4">
      <c r="B6" s="69" t="s">
        <v>1</v>
      </c>
      <c r="C6" s="37" t="str">
        <f>'Nivel 1'!C9</f>
        <v>Oficina Central</v>
      </c>
      <c r="D6" s="71" t="s">
        <v>6</v>
      </c>
      <c r="E6" s="37" t="str">
        <f>'Nivel 1'!E9</f>
        <v>Bimbo</v>
      </c>
      <c r="F6" s="89" t="s">
        <v>18</v>
      </c>
      <c r="G6" s="89"/>
      <c r="H6" s="45"/>
    </row>
    <row r="7" spans="1:8" s="6" customFormat="1" ht="39.75" customHeight="1" x14ac:dyDescent="0.4">
      <c r="B7" s="69" t="s">
        <v>2</v>
      </c>
      <c r="C7" s="37" t="str">
        <f>'Nivel 1'!C10</f>
        <v>Franklin Bratta</v>
      </c>
      <c r="D7" s="72" t="s">
        <v>5</v>
      </c>
      <c r="E7" s="37">
        <f>'Nivel 1'!E10</f>
        <v>45763</v>
      </c>
      <c r="F7" s="90"/>
      <c r="G7" s="90"/>
      <c r="H7" s="45"/>
    </row>
    <row r="8" spans="1:8" s="6" customFormat="1" ht="38.25" customHeight="1" x14ac:dyDescent="0.4">
      <c r="B8" s="70" t="s">
        <v>20</v>
      </c>
      <c r="C8" s="37" t="str">
        <f>'Nivel 1'!C11</f>
        <v>Loreto lopez</v>
      </c>
      <c r="D8" s="69" t="s">
        <v>4</v>
      </c>
      <c r="E8" s="37">
        <f>'Nivel 1'!E11</f>
        <v>0.5</v>
      </c>
      <c r="F8" s="89" t="s">
        <v>17</v>
      </c>
      <c r="G8" s="89"/>
      <c r="H8" s="45" t="s">
        <v>27</v>
      </c>
    </row>
    <row r="9" spans="1:8" s="6" customFormat="1" ht="34.5" customHeight="1" x14ac:dyDescent="0.4">
      <c r="B9" s="69" t="s">
        <v>3</v>
      </c>
      <c r="C9" s="37"/>
      <c r="D9" s="69" t="s">
        <v>7</v>
      </c>
      <c r="E9" s="37">
        <f>'Nivel 1'!E12</f>
        <v>0.75</v>
      </c>
      <c r="F9" s="91" t="str">
        <f>G25</f>
        <v>NA</v>
      </c>
      <c r="G9" s="92"/>
      <c r="H9" s="45" t="s">
        <v>28</v>
      </c>
    </row>
    <row r="10" spans="1:8" x14ac:dyDescent="0.35">
      <c r="H10" s="42" t="s">
        <v>29</v>
      </c>
    </row>
    <row r="11" spans="1:8" s="9" customFormat="1" ht="31.2" x14ac:dyDescent="0.35">
      <c r="B11" s="86" t="s">
        <v>48</v>
      </c>
      <c r="C11" s="86"/>
      <c r="D11" s="74" t="s">
        <v>0</v>
      </c>
      <c r="E11" s="93" t="s">
        <v>114</v>
      </c>
      <c r="F11" s="93"/>
      <c r="G11" s="74" t="s">
        <v>16</v>
      </c>
      <c r="H11" s="46"/>
    </row>
    <row r="12" spans="1:8" ht="50.1" customHeight="1" x14ac:dyDescent="0.35">
      <c r="B12" s="102" t="s">
        <v>383</v>
      </c>
      <c r="C12" s="102"/>
      <c r="D12" s="40"/>
      <c r="E12" s="88"/>
      <c r="F12" s="88"/>
      <c r="G12" s="40" t="str">
        <f>IF(D12="Cumple",1,IF(D12="No Cumple",0,"NA"))</f>
        <v>NA</v>
      </c>
    </row>
    <row r="13" spans="1:8" ht="50.1" customHeight="1" x14ac:dyDescent="0.35">
      <c r="B13" s="101" t="s">
        <v>64</v>
      </c>
      <c r="C13" s="101" t="s">
        <v>65</v>
      </c>
      <c r="D13" s="40"/>
      <c r="E13" s="88"/>
      <c r="F13" s="88"/>
      <c r="G13" s="40" t="str">
        <f t="shared" ref="G13:G23" si="0">IF(D13="Cumple",1,IF(D13="No Cumple",0,"NA"))</f>
        <v>NA</v>
      </c>
    </row>
    <row r="14" spans="1:8" ht="50.1" customHeight="1" x14ac:dyDescent="0.35">
      <c r="B14" s="101" t="s">
        <v>384</v>
      </c>
      <c r="C14" s="101" t="s">
        <v>66</v>
      </c>
      <c r="D14" s="40"/>
      <c r="E14" s="88"/>
      <c r="F14" s="88"/>
      <c r="G14" s="40" t="str">
        <f>IF(D14="Cumple",1,IF(D14="No Cumple",0,"NA"))</f>
        <v>NA</v>
      </c>
    </row>
    <row r="15" spans="1:8" ht="50.1" customHeight="1" x14ac:dyDescent="0.35">
      <c r="B15" s="101" t="s">
        <v>385</v>
      </c>
      <c r="C15" s="101" t="s">
        <v>67</v>
      </c>
      <c r="D15" s="40"/>
      <c r="E15" s="88"/>
      <c r="F15" s="88"/>
      <c r="G15" s="40" t="str">
        <f t="shared" si="0"/>
        <v>NA</v>
      </c>
    </row>
    <row r="16" spans="1:8" ht="50.1" customHeight="1" x14ac:dyDescent="0.35">
      <c r="B16" s="101" t="s">
        <v>68</v>
      </c>
      <c r="C16" s="101" t="s">
        <v>69</v>
      </c>
      <c r="D16" s="40"/>
      <c r="E16" s="88"/>
      <c r="F16" s="88"/>
      <c r="G16" s="40" t="str">
        <f t="shared" si="0"/>
        <v>NA</v>
      </c>
    </row>
    <row r="17" spans="2:7" ht="50.1" customHeight="1" x14ac:dyDescent="0.35">
      <c r="B17" s="101" t="s">
        <v>70</v>
      </c>
      <c r="C17" s="101" t="s">
        <v>71</v>
      </c>
      <c r="D17" s="40"/>
      <c r="E17" s="88"/>
      <c r="F17" s="88"/>
      <c r="G17" s="40" t="str">
        <f t="shared" si="0"/>
        <v>NA</v>
      </c>
    </row>
    <row r="18" spans="2:7" ht="50.1" customHeight="1" x14ac:dyDescent="0.35">
      <c r="B18" s="101" t="s">
        <v>72</v>
      </c>
      <c r="C18" s="101" t="s">
        <v>73</v>
      </c>
      <c r="D18" s="40"/>
      <c r="E18" s="88"/>
      <c r="F18" s="88"/>
      <c r="G18" s="40" t="str">
        <f t="shared" si="0"/>
        <v>NA</v>
      </c>
    </row>
    <row r="19" spans="2:7" ht="50.1" customHeight="1" x14ac:dyDescent="0.35">
      <c r="B19" s="101" t="s">
        <v>74</v>
      </c>
      <c r="C19" s="101"/>
      <c r="D19" s="40"/>
      <c r="E19" s="88"/>
      <c r="F19" s="88"/>
      <c r="G19" s="40" t="str">
        <f t="shared" si="0"/>
        <v>NA</v>
      </c>
    </row>
    <row r="20" spans="2:7" ht="50.1" customHeight="1" x14ac:dyDescent="0.35">
      <c r="B20" s="101" t="s">
        <v>75</v>
      </c>
      <c r="C20" s="101" t="s">
        <v>76</v>
      </c>
      <c r="D20" s="40"/>
      <c r="E20" s="88"/>
      <c r="F20" s="88"/>
      <c r="G20" s="40" t="str">
        <f t="shared" si="0"/>
        <v>NA</v>
      </c>
    </row>
    <row r="21" spans="2:7" ht="50.1" customHeight="1" x14ac:dyDescent="0.35">
      <c r="B21" s="101" t="s">
        <v>77</v>
      </c>
      <c r="C21" s="101" t="s">
        <v>78</v>
      </c>
      <c r="D21" s="40"/>
      <c r="E21" s="88"/>
      <c r="F21" s="88"/>
      <c r="G21" s="40" t="str">
        <f t="shared" si="0"/>
        <v>NA</v>
      </c>
    </row>
    <row r="22" spans="2:7" ht="50.1" customHeight="1" x14ac:dyDescent="0.35">
      <c r="B22" s="101" t="s">
        <v>79</v>
      </c>
      <c r="C22" s="101" t="s">
        <v>80</v>
      </c>
      <c r="D22" s="40"/>
      <c r="E22" s="88"/>
      <c r="F22" s="88"/>
      <c r="G22" s="40" t="str">
        <f t="shared" si="0"/>
        <v>NA</v>
      </c>
    </row>
    <row r="23" spans="2:7" ht="50.1" customHeight="1" x14ac:dyDescent="0.35">
      <c r="B23" s="101" t="s">
        <v>386</v>
      </c>
      <c r="C23" s="101" t="s">
        <v>81</v>
      </c>
      <c r="D23" s="40"/>
      <c r="E23" s="88"/>
      <c r="F23" s="88"/>
      <c r="G23" s="40" t="str">
        <f t="shared" si="0"/>
        <v>NA</v>
      </c>
    </row>
    <row r="24" spans="2:7" ht="21" customHeight="1" x14ac:dyDescent="0.35">
      <c r="F24" s="86" t="s">
        <v>15</v>
      </c>
      <c r="G24" s="40">
        <f>SUMIF(G12:G23,"&lt;2")</f>
        <v>0</v>
      </c>
    </row>
    <row r="25" spans="2:7" ht="25.5" customHeight="1" x14ac:dyDescent="0.35">
      <c r="F25" s="86"/>
      <c r="G25" s="41" t="str">
        <f>IFERROR((G24*1)/(COUNTIF(G12:G23,"&lt;2")),"NA")</f>
        <v>NA</v>
      </c>
    </row>
  </sheetData>
  <mergeCells count="31">
    <mergeCell ref="B19:C19"/>
    <mergeCell ref="B20:C20"/>
    <mergeCell ref="B18:C18"/>
    <mergeCell ref="B23:C23"/>
    <mergeCell ref="B11:C11"/>
    <mergeCell ref="E11:F11"/>
    <mergeCell ref="B12:C12"/>
    <mergeCell ref="B14:C14"/>
    <mergeCell ref="B16:C16"/>
    <mergeCell ref="E15:F15"/>
    <mergeCell ref="F6:G6"/>
    <mergeCell ref="F8:G8"/>
    <mergeCell ref="F7:G7"/>
    <mergeCell ref="F9:G9"/>
    <mergeCell ref="E12:F12"/>
    <mergeCell ref="F24:F25"/>
    <mergeCell ref="E14:F14"/>
    <mergeCell ref="E16:F16"/>
    <mergeCell ref="E17:F17"/>
    <mergeCell ref="B13:C13"/>
    <mergeCell ref="E13:F13"/>
    <mergeCell ref="B15:C15"/>
    <mergeCell ref="B17:C17"/>
    <mergeCell ref="E18:F18"/>
    <mergeCell ref="E23:F23"/>
    <mergeCell ref="E19:F19"/>
    <mergeCell ref="E20:F20"/>
    <mergeCell ref="E21:F21"/>
    <mergeCell ref="E22:F22"/>
    <mergeCell ref="B21:C21"/>
    <mergeCell ref="B22:C22"/>
  </mergeCells>
  <dataValidations count="1">
    <dataValidation type="list" allowBlank="1" showInputMessage="1" showErrorMessage="1" sqref="D12:D23" xr:uid="{00000000-0002-0000-0A00-000000000000}">
      <formula1>$H$8:$H$10</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33"/>
  <dimension ref="B3:H29"/>
  <sheetViews>
    <sheetView showGridLines="0" topLeftCell="A8" zoomScaleNormal="100" workbookViewId="0">
      <selection activeCell="I9" sqref="I9"/>
    </sheetView>
  </sheetViews>
  <sheetFormatPr baseColWidth="10" defaultColWidth="11.44140625" defaultRowHeight="15.6" x14ac:dyDescent="0.35"/>
  <cols>
    <col min="1" max="1" width="1.88671875" style="1" customWidth="1"/>
    <col min="2" max="2" width="33.44140625" style="1" customWidth="1"/>
    <col min="3" max="3" width="50.6640625" style="1" customWidth="1"/>
    <col min="4" max="4" width="25.88671875" style="1" customWidth="1"/>
    <col min="5" max="5" width="51.5546875" style="1" customWidth="1"/>
    <col min="6" max="6" width="22.44140625" style="1" customWidth="1"/>
    <col min="7" max="7" width="11.44140625" style="1"/>
    <col min="8" max="8" width="0" style="42" hidden="1" customWidth="1"/>
    <col min="9" max="16384" width="11.44140625" style="1"/>
  </cols>
  <sheetData>
    <row r="3" spans="2:8" s="36" customFormat="1" ht="35.25" customHeight="1" x14ac:dyDescent="0.4">
      <c r="B3" s="5"/>
      <c r="C3" s="34"/>
      <c r="D3" s="34"/>
      <c r="E3" s="34"/>
      <c r="F3" s="35"/>
      <c r="G3" s="35"/>
      <c r="H3" s="43"/>
    </row>
    <row r="4" spans="2:8" s="36" customFormat="1" ht="35.25" customHeight="1" x14ac:dyDescent="0.4">
      <c r="B4" s="5"/>
      <c r="C4" s="2"/>
      <c r="D4" s="3"/>
      <c r="E4" s="3"/>
      <c r="F4" s="44"/>
      <c r="G4" s="44"/>
      <c r="H4" s="43"/>
    </row>
    <row r="5" spans="2:8" s="6" customFormat="1" ht="17.399999999999999" x14ac:dyDescent="0.4">
      <c r="C5" s="7"/>
      <c r="D5" s="7"/>
      <c r="E5" s="7"/>
      <c r="H5" s="45"/>
    </row>
    <row r="6" spans="2:8" s="6" customFormat="1" ht="31.5" customHeight="1" x14ac:dyDescent="0.4">
      <c r="B6" s="69" t="s">
        <v>1</v>
      </c>
      <c r="C6" s="37" t="str">
        <f>'Nivel 1'!C9</f>
        <v>Oficina Central</v>
      </c>
      <c r="D6" s="71" t="s">
        <v>6</v>
      </c>
      <c r="E6" s="37" t="str">
        <f>'Nivel 1'!E9</f>
        <v>Bimbo</v>
      </c>
      <c r="F6" s="89" t="s">
        <v>18</v>
      </c>
      <c r="G6" s="89"/>
      <c r="H6" s="45"/>
    </row>
    <row r="7" spans="2:8" s="6" customFormat="1" ht="39.75" customHeight="1" x14ac:dyDescent="0.4">
      <c r="B7" s="69" t="s">
        <v>2</v>
      </c>
      <c r="C7" s="37" t="str">
        <f>'Nivel 1'!C10</f>
        <v>Franklin Bratta</v>
      </c>
      <c r="D7" s="72" t="s">
        <v>5</v>
      </c>
      <c r="E7" s="37">
        <f>'Nivel 1'!E10</f>
        <v>45763</v>
      </c>
      <c r="F7" s="90"/>
      <c r="G7" s="90"/>
      <c r="H7" s="45"/>
    </row>
    <row r="8" spans="2:8" s="6" customFormat="1" ht="39.75" customHeight="1" x14ac:dyDescent="0.4">
      <c r="B8" s="70" t="s">
        <v>20</v>
      </c>
      <c r="C8" s="37" t="str">
        <f>'Nivel 1'!C11</f>
        <v>Loreto lopez</v>
      </c>
      <c r="D8" s="69" t="s">
        <v>4</v>
      </c>
      <c r="E8" s="37">
        <f>'Nivel 1'!E11</f>
        <v>0.5</v>
      </c>
      <c r="F8" s="89" t="s">
        <v>17</v>
      </c>
      <c r="G8" s="89"/>
      <c r="H8" s="45" t="s">
        <v>27</v>
      </c>
    </row>
    <row r="9" spans="2:8" s="6" customFormat="1" ht="27" customHeight="1" x14ac:dyDescent="0.4">
      <c r="B9" s="69" t="s">
        <v>3</v>
      </c>
      <c r="C9" s="37">
        <f>'Nivel 1'!C12</f>
        <v>45763</v>
      </c>
      <c r="D9" s="69" t="s">
        <v>7</v>
      </c>
      <c r="E9" s="37">
        <f>'Nivel 1'!E12</f>
        <v>0.75</v>
      </c>
      <c r="F9" s="91" t="str">
        <f>G29</f>
        <v>NA</v>
      </c>
      <c r="G9" s="92"/>
      <c r="H9" s="45" t="s">
        <v>28</v>
      </c>
    </row>
    <row r="10" spans="2:8" x14ac:dyDescent="0.35">
      <c r="H10" s="42" t="s">
        <v>29</v>
      </c>
    </row>
    <row r="11" spans="2:8" s="9" customFormat="1" ht="31.2" x14ac:dyDescent="0.35">
      <c r="B11" s="86" t="s">
        <v>13</v>
      </c>
      <c r="C11" s="86"/>
      <c r="D11" s="74" t="s">
        <v>0</v>
      </c>
      <c r="E11" s="93" t="s">
        <v>114</v>
      </c>
      <c r="F11" s="93"/>
      <c r="G11" s="74" t="s">
        <v>16</v>
      </c>
      <c r="H11" s="46"/>
    </row>
    <row r="12" spans="2:8" ht="50.1" customHeight="1" x14ac:dyDescent="0.35">
      <c r="B12" s="102" t="s">
        <v>387</v>
      </c>
      <c r="C12" s="102"/>
      <c r="D12" s="40"/>
      <c r="E12" s="88"/>
      <c r="F12" s="88"/>
      <c r="G12" s="40" t="str">
        <f>IF(D12="Cumple",1,IF(D12="No Cumple",0,"NA"))</f>
        <v>NA</v>
      </c>
    </row>
    <row r="13" spans="2:8" ht="50.1" customHeight="1" x14ac:dyDescent="0.35">
      <c r="B13" s="102" t="s">
        <v>388</v>
      </c>
      <c r="C13" s="102" t="s">
        <v>288</v>
      </c>
      <c r="D13" s="40"/>
      <c r="E13" s="88"/>
      <c r="F13" s="88"/>
      <c r="G13" s="40" t="str">
        <f t="shared" ref="G13:G27" si="0">IF(D13="Cumple",1,IF(D13="No Cumple",0,"NA"))</f>
        <v>NA</v>
      </c>
    </row>
    <row r="14" spans="2:8" ht="50.1" customHeight="1" x14ac:dyDescent="0.35">
      <c r="B14" s="102" t="s">
        <v>389</v>
      </c>
      <c r="C14" s="102" t="s">
        <v>289</v>
      </c>
      <c r="D14" s="40"/>
      <c r="E14" s="88"/>
      <c r="F14" s="88"/>
      <c r="G14" s="40" t="str">
        <f t="shared" si="0"/>
        <v>NA</v>
      </c>
    </row>
    <row r="15" spans="2:8" ht="50.1" customHeight="1" x14ac:dyDescent="0.35">
      <c r="B15" s="102" t="s">
        <v>390</v>
      </c>
      <c r="C15" s="102" t="s">
        <v>290</v>
      </c>
      <c r="D15" s="40"/>
      <c r="E15" s="88"/>
      <c r="F15" s="88"/>
      <c r="G15" s="40" t="str">
        <f t="shared" si="0"/>
        <v>NA</v>
      </c>
    </row>
    <row r="16" spans="2:8" ht="50.1" customHeight="1" x14ac:dyDescent="0.35">
      <c r="B16" s="102" t="s">
        <v>291</v>
      </c>
      <c r="C16" s="102"/>
      <c r="D16" s="40"/>
      <c r="E16" s="88"/>
      <c r="F16" s="88"/>
      <c r="G16" s="40" t="str">
        <f t="shared" si="0"/>
        <v>NA</v>
      </c>
    </row>
    <row r="17" spans="2:7" ht="50.1" customHeight="1" x14ac:dyDescent="0.35">
      <c r="B17" s="102" t="s">
        <v>292</v>
      </c>
      <c r="C17" s="102" t="s">
        <v>293</v>
      </c>
      <c r="D17" s="40"/>
      <c r="E17" s="88"/>
      <c r="F17" s="88"/>
      <c r="G17" s="40" t="str">
        <f t="shared" si="0"/>
        <v>NA</v>
      </c>
    </row>
    <row r="18" spans="2:7" ht="50.1" customHeight="1" x14ac:dyDescent="0.35">
      <c r="B18" s="102" t="s">
        <v>294</v>
      </c>
      <c r="C18" s="102" t="s">
        <v>295</v>
      </c>
      <c r="D18" s="40"/>
      <c r="E18" s="88"/>
      <c r="F18" s="88"/>
      <c r="G18" s="40" t="str">
        <f t="shared" si="0"/>
        <v>NA</v>
      </c>
    </row>
    <row r="19" spans="2:7" ht="50.1" customHeight="1" x14ac:dyDescent="0.35">
      <c r="B19" s="102" t="s">
        <v>296</v>
      </c>
      <c r="C19" s="102" t="s">
        <v>295</v>
      </c>
      <c r="D19" s="40"/>
      <c r="E19" s="88"/>
      <c r="F19" s="88"/>
      <c r="G19" s="40" t="str">
        <f t="shared" si="0"/>
        <v>NA</v>
      </c>
    </row>
    <row r="20" spans="2:7" ht="50.1" customHeight="1" x14ac:dyDescent="0.35">
      <c r="B20" s="102" t="s">
        <v>297</v>
      </c>
      <c r="C20" s="102"/>
      <c r="D20" s="40"/>
      <c r="E20" s="88"/>
      <c r="F20" s="88"/>
      <c r="G20" s="40" t="str">
        <f t="shared" si="0"/>
        <v>NA</v>
      </c>
    </row>
    <row r="21" spans="2:7" ht="50.1" customHeight="1" x14ac:dyDescent="0.35">
      <c r="B21" s="102" t="s">
        <v>298</v>
      </c>
      <c r="C21" s="102"/>
      <c r="D21" s="40"/>
      <c r="E21" s="103"/>
      <c r="F21" s="104"/>
      <c r="G21" s="40" t="str">
        <f t="shared" si="0"/>
        <v>NA</v>
      </c>
    </row>
    <row r="22" spans="2:7" ht="50.1" customHeight="1" x14ac:dyDescent="0.35">
      <c r="B22" s="102" t="s">
        <v>299</v>
      </c>
      <c r="C22" s="102"/>
      <c r="D22" s="40"/>
      <c r="E22" s="103"/>
      <c r="F22" s="104"/>
      <c r="G22" s="40" t="str">
        <f t="shared" si="0"/>
        <v>NA</v>
      </c>
    </row>
    <row r="23" spans="2:7" ht="50.1" customHeight="1" x14ac:dyDescent="0.35">
      <c r="B23" s="101" t="s">
        <v>300</v>
      </c>
      <c r="C23" s="102"/>
      <c r="D23" s="40"/>
      <c r="E23" s="103"/>
      <c r="F23" s="104"/>
      <c r="G23" s="40" t="str">
        <f t="shared" si="0"/>
        <v>NA</v>
      </c>
    </row>
    <row r="24" spans="2:7" ht="50.1" customHeight="1" x14ac:dyDescent="0.35">
      <c r="B24" s="101" t="s">
        <v>301</v>
      </c>
      <c r="C24" s="101"/>
      <c r="D24" s="40"/>
      <c r="E24" s="103"/>
      <c r="F24" s="104"/>
      <c r="G24" s="40" t="str">
        <f t="shared" si="0"/>
        <v>NA</v>
      </c>
    </row>
    <row r="25" spans="2:7" ht="50.1" customHeight="1" x14ac:dyDescent="0.35">
      <c r="B25" s="101" t="s">
        <v>302</v>
      </c>
      <c r="C25" s="101"/>
      <c r="D25" s="40"/>
      <c r="E25" s="88"/>
      <c r="F25" s="88"/>
      <c r="G25" s="40" t="str">
        <f t="shared" si="0"/>
        <v>NA</v>
      </c>
    </row>
    <row r="26" spans="2:7" ht="50.1" customHeight="1" x14ac:dyDescent="0.35">
      <c r="B26" s="101" t="s">
        <v>303</v>
      </c>
      <c r="C26" s="101"/>
      <c r="D26" s="40"/>
      <c r="E26" s="88"/>
      <c r="F26" s="88"/>
      <c r="G26" s="40" t="str">
        <f t="shared" si="0"/>
        <v>NA</v>
      </c>
    </row>
    <row r="27" spans="2:7" ht="50.1" customHeight="1" x14ac:dyDescent="0.35">
      <c r="B27" s="102" t="s">
        <v>304</v>
      </c>
      <c r="C27" s="102" t="s">
        <v>295</v>
      </c>
      <c r="D27" s="40"/>
      <c r="E27" s="88"/>
      <c r="F27" s="88"/>
      <c r="G27" s="40" t="str">
        <f t="shared" si="0"/>
        <v>NA</v>
      </c>
    </row>
    <row r="28" spans="2:7" ht="30" customHeight="1" x14ac:dyDescent="0.35">
      <c r="F28" s="86" t="s">
        <v>15</v>
      </c>
      <c r="G28" s="40">
        <f>SUMIF(G12:G27,"&lt;2")</f>
        <v>0</v>
      </c>
    </row>
    <row r="29" spans="2:7" x14ac:dyDescent="0.35">
      <c r="F29" s="86"/>
      <c r="G29" s="41" t="str">
        <f>IFERROR((G28*1)/(COUNTIF(G12:G27,"&lt;2")),"NA")</f>
        <v>NA</v>
      </c>
    </row>
  </sheetData>
  <mergeCells count="39">
    <mergeCell ref="F28:F29"/>
    <mergeCell ref="E14:F14"/>
    <mergeCell ref="E15:F15"/>
    <mergeCell ref="E17:F17"/>
    <mergeCell ref="E27:F27"/>
    <mergeCell ref="E19:F19"/>
    <mergeCell ref="E18:F18"/>
    <mergeCell ref="E20:F20"/>
    <mergeCell ref="E25:F25"/>
    <mergeCell ref="E26:F26"/>
    <mergeCell ref="E16:F16"/>
    <mergeCell ref="E21:F21"/>
    <mergeCell ref="E22:F22"/>
    <mergeCell ref="E23:F23"/>
    <mergeCell ref="E24:F24"/>
    <mergeCell ref="B14:C14"/>
    <mergeCell ref="B15:C15"/>
    <mergeCell ref="B17:C17"/>
    <mergeCell ref="B27:C27"/>
    <mergeCell ref="B19:C19"/>
    <mergeCell ref="B18:C18"/>
    <mergeCell ref="B16:C16"/>
    <mergeCell ref="B20:C20"/>
    <mergeCell ref="B21:C21"/>
    <mergeCell ref="B22:C22"/>
    <mergeCell ref="B23:C23"/>
    <mergeCell ref="B25:C25"/>
    <mergeCell ref="B24:C24"/>
    <mergeCell ref="B26:C26"/>
    <mergeCell ref="B11:C11"/>
    <mergeCell ref="E11:F11"/>
    <mergeCell ref="B12:C12"/>
    <mergeCell ref="B13:C13"/>
    <mergeCell ref="F6:G6"/>
    <mergeCell ref="F8:G8"/>
    <mergeCell ref="F7:G7"/>
    <mergeCell ref="F9:G9"/>
    <mergeCell ref="E12:F12"/>
    <mergeCell ref="E13:F13"/>
  </mergeCells>
  <dataValidations count="1">
    <dataValidation type="list" allowBlank="1" showInputMessage="1" showErrorMessage="1" sqref="D12:D27" xr:uid="{00000000-0002-0000-0C00-000000000000}">
      <formula1>$H$8:$H$10</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34"/>
  <dimension ref="A1:H19"/>
  <sheetViews>
    <sheetView showGridLines="0" topLeftCell="B9" zoomScale="110" zoomScaleNormal="110" workbookViewId="0">
      <selection activeCell="L5" sqref="L5"/>
    </sheetView>
  </sheetViews>
  <sheetFormatPr baseColWidth="10" defaultColWidth="11.44140625" defaultRowHeight="15.6" x14ac:dyDescent="0.35"/>
  <cols>
    <col min="1" max="1" width="3.33203125" style="1" customWidth="1"/>
    <col min="2" max="2" width="27.88671875" style="1" customWidth="1"/>
    <col min="3" max="3" width="50.6640625" style="1" customWidth="1"/>
    <col min="4" max="4" width="26" style="1" customWidth="1"/>
    <col min="5" max="5" width="51.5546875" style="1" customWidth="1"/>
    <col min="6" max="6" width="21.44140625" style="1" customWidth="1"/>
    <col min="7" max="7" width="11.44140625" style="1"/>
    <col min="8" max="8" width="0" style="42" hidden="1" customWidth="1"/>
    <col min="9" max="16384" width="11.44140625" style="1"/>
  </cols>
  <sheetData>
    <row r="1" spans="1:8" s="36" customFormat="1" ht="35.25" customHeight="1" x14ac:dyDescent="0.4">
      <c r="A1" s="5"/>
      <c r="B1" s="5"/>
      <c r="C1" s="34"/>
      <c r="D1" s="34"/>
      <c r="E1" s="34"/>
      <c r="F1" s="35"/>
      <c r="G1" s="35"/>
      <c r="H1" s="43"/>
    </row>
    <row r="2" spans="1:8" s="36" customFormat="1" ht="35.25" customHeight="1" x14ac:dyDescent="0.4">
      <c r="A2" s="5"/>
      <c r="B2" s="5"/>
      <c r="C2" s="2"/>
      <c r="D2" s="3"/>
      <c r="E2" s="3"/>
      <c r="F2" s="44"/>
      <c r="G2" s="44"/>
      <c r="H2" s="43"/>
    </row>
    <row r="3" spans="1:8" s="6" customFormat="1" ht="66.75" customHeight="1" x14ac:dyDescent="0.4">
      <c r="C3" s="7"/>
      <c r="D3" s="7"/>
      <c r="E3" s="7"/>
      <c r="H3" s="45"/>
    </row>
    <row r="4" spans="1:8" s="6" customFormat="1" ht="38.25" customHeight="1" x14ac:dyDescent="0.4">
      <c r="B4" s="69" t="s">
        <v>1</v>
      </c>
      <c r="C4" s="37" t="str">
        <f>'Nivel 1'!C9</f>
        <v>Oficina Central</v>
      </c>
      <c r="D4" s="71" t="s">
        <v>6</v>
      </c>
      <c r="E4" s="37" t="str">
        <f>'Nivel 1'!E9</f>
        <v>Bimbo</v>
      </c>
      <c r="F4" s="89" t="s">
        <v>18</v>
      </c>
      <c r="G4" s="89"/>
      <c r="H4" s="45"/>
    </row>
    <row r="5" spans="1:8" s="6" customFormat="1" ht="40.5" customHeight="1" x14ac:dyDescent="0.4">
      <c r="B5" s="69" t="s">
        <v>2</v>
      </c>
      <c r="C5" s="37" t="str">
        <f>'Nivel 1'!C10</f>
        <v>Franklin Bratta</v>
      </c>
      <c r="D5" s="72" t="s">
        <v>5</v>
      </c>
      <c r="E5" s="37">
        <f>'Nivel 1'!E10</f>
        <v>45763</v>
      </c>
      <c r="F5" s="90"/>
      <c r="G5" s="90"/>
      <c r="H5" s="45"/>
    </row>
    <row r="6" spans="1:8" s="6" customFormat="1" ht="39" customHeight="1" x14ac:dyDescent="0.4">
      <c r="B6" s="70" t="s">
        <v>20</v>
      </c>
      <c r="C6" s="37" t="str">
        <f>'Nivel 1'!C11</f>
        <v>Loreto lopez</v>
      </c>
      <c r="D6" s="69" t="s">
        <v>4</v>
      </c>
      <c r="E6" s="37">
        <f>'Nivel 1'!E11</f>
        <v>0.5</v>
      </c>
      <c r="F6" s="89" t="s">
        <v>17</v>
      </c>
      <c r="G6" s="89"/>
      <c r="H6" s="45" t="s">
        <v>27</v>
      </c>
    </row>
    <row r="7" spans="1:8" s="6" customFormat="1" ht="34.5" customHeight="1" x14ac:dyDescent="0.4">
      <c r="B7" s="69" t="s">
        <v>3</v>
      </c>
      <c r="C7" s="37">
        <f>'Nivel 1'!C12</f>
        <v>45763</v>
      </c>
      <c r="D7" s="69" t="s">
        <v>7</v>
      </c>
      <c r="E7" s="37">
        <f>'Nivel 1'!E12</f>
        <v>0.75</v>
      </c>
      <c r="F7" s="91" t="str">
        <f>G19</f>
        <v>NA</v>
      </c>
      <c r="G7" s="92"/>
      <c r="H7" s="45" t="s">
        <v>28</v>
      </c>
    </row>
    <row r="8" spans="1:8" x14ac:dyDescent="0.35">
      <c r="H8" s="42" t="s">
        <v>29</v>
      </c>
    </row>
    <row r="9" spans="1:8" s="9" customFormat="1" ht="31.2" x14ac:dyDescent="0.35">
      <c r="B9" s="86" t="s">
        <v>14</v>
      </c>
      <c r="C9" s="86"/>
      <c r="D9" s="74" t="s">
        <v>0</v>
      </c>
      <c r="E9" s="93" t="s">
        <v>114</v>
      </c>
      <c r="F9" s="93"/>
      <c r="G9" s="74" t="s">
        <v>16</v>
      </c>
      <c r="H9" s="46"/>
    </row>
    <row r="10" spans="1:8" ht="50.1" customHeight="1" x14ac:dyDescent="0.35">
      <c r="B10" s="87" t="s">
        <v>263</v>
      </c>
      <c r="C10" s="87" t="s">
        <v>49</v>
      </c>
      <c r="D10" s="40"/>
      <c r="E10" s="88"/>
      <c r="F10" s="88"/>
      <c r="G10" s="40" t="str">
        <f t="shared" ref="G10:G17" si="0">IF(D10="Cumple",1,IF(D10="No Cumple",0,"NA"))</f>
        <v>NA</v>
      </c>
    </row>
    <row r="11" spans="1:8" ht="50.1" customHeight="1" x14ac:dyDescent="0.35">
      <c r="B11" s="85" t="s">
        <v>264</v>
      </c>
      <c r="C11" s="85" t="s">
        <v>265</v>
      </c>
      <c r="D11" s="40"/>
      <c r="E11" s="88"/>
      <c r="F11" s="88"/>
      <c r="G11" s="40" t="str">
        <f t="shared" si="0"/>
        <v>NA</v>
      </c>
    </row>
    <row r="12" spans="1:8" ht="50.1" customHeight="1" x14ac:dyDescent="0.35">
      <c r="B12" s="85" t="s">
        <v>266</v>
      </c>
      <c r="C12" s="85" t="s">
        <v>267</v>
      </c>
      <c r="D12" s="40"/>
      <c r="E12" s="88"/>
      <c r="F12" s="88"/>
      <c r="G12" s="40" t="str">
        <f t="shared" si="0"/>
        <v>NA</v>
      </c>
    </row>
    <row r="13" spans="1:8" ht="50.1" customHeight="1" x14ac:dyDescent="0.35">
      <c r="B13" s="85" t="s">
        <v>268</v>
      </c>
      <c r="C13" s="85" t="s">
        <v>269</v>
      </c>
      <c r="D13" s="40"/>
      <c r="E13" s="88"/>
      <c r="F13" s="88"/>
      <c r="G13" s="40" t="str">
        <f t="shared" si="0"/>
        <v>NA</v>
      </c>
    </row>
    <row r="14" spans="1:8" ht="49.8" customHeight="1" x14ac:dyDescent="0.35">
      <c r="B14" s="85" t="s">
        <v>270</v>
      </c>
      <c r="C14" s="85" t="s">
        <v>271</v>
      </c>
      <c r="D14" s="40"/>
      <c r="E14" s="88"/>
      <c r="F14" s="88"/>
      <c r="G14" s="40" t="str">
        <f t="shared" si="0"/>
        <v>NA</v>
      </c>
    </row>
    <row r="15" spans="1:8" ht="50.1" customHeight="1" x14ac:dyDescent="0.35">
      <c r="B15" s="105" t="s">
        <v>272</v>
      </c>
      <c r="C15" s="105"/>
      <c r="D15" s="40"/>
      <c r="E15" s="88"/>
      <c r="F15" s="88"/>
      <c r="G15" s="40" t="str">
        <f t="shared" si="0"/>
        <v>NA</v>
      </c>
    </row>
    <row r="16" spans="1:8" ht="50.1" customHeight="1" x14ac:dyDescent="0.35">
      <c r="B16" s="87" t="s">
        <v>273</v>
      </c>
      <c r="C16" s="87"/>
      <c r="D16" s="40"/>
      <c r="E16" s="88"/>
      <c r="F16" s="88"/>
      <c r="G16" s="40" t="str">
        <f t="shared" si="0"/>
        <v>NA</v>
      </c>
    </row>
    <row r="17" spans="2:7" ht="50.1" customHeight="1" x14ac:dyDescent="0.35">
      <c r="B17" s="85" t="s">
        <v>274</v>
      </c>
      <c r="C17" s="85" t="s">
        <v>275</v>
      </c>
      <c r="D17" s="40"/>
      <c r="E17" s="88"/>
      <c r="F17" s="88"/>
      <c r="G17" s="40" t="str">
        <f t="shared" si="0"/>
        <v>NA</v>
      </c>
    </row>
    <row r="18" spans="2:7" ht="30" customHeight="1" x14ac:dyDescent="0.35">
      <c r="F18" s="86" t="s">
        <v>15</v>
      </c>
      <c r="G18" s="40">
        <f>SUMIF(G10:G17,"&lt;2")</f>
        <v>0</v>
      </c>
    </row>
    <row r="19" spans="2:7" x14ac:dyDescent="0.35">
      <c r="F19" s="86"/>
      <c r="G19" s="41" t="str">
        <f>IFERROR((G18*1)/(COUNTIF(G10:G17,"&lt;2")),"NA")</f>
        <v>NA</v>
      </c>
    </row>
  </sheetData>
  <mergeCells count="23">
    <mergeCell ref="F18:F19"/>
    <mergeCell ref="E10:F10"/>
    <mergeCell ref="E11:F11"/>
    <mergeCell ref="E12:F12"/>
    <mergeCell ref="E13:F13"/>
    <mergeCell ref="E14:F14"/>
    <mergeCell ref="E15:F15"/>
    <mergeCell ref="E16:F16"/>
    <mergeCell ref="B14:C14"/>
    <mergeCell ref="B17:C17"/>
    <mergeCell ref="E17:F17"/>
    <mergeCell ref="B16:C16"/>
    <mergeCell ref="B15:C15"/>
    <mergeCell ref="B12:C12"/>
    <mergeCell ref="B10:C10"/>
    <mergeCell ref="B9:C9"/>
    <mergeCell ref="E9:F9"/>
    <mergeCell ref="B13:C13"/>
    <mergeCell ref="F4:G4"/>
    <mergeCell ref="F6:G6"/>
    <mergeCell ref="F5:G5"/>
    <mergeCell ref="F7:G7"/>
    <mergeCell ref="B11:C11"/>
  </mergeCells>
  <dataValidations count="1">
    <dataValidation type="list" allowBlank="1" showInputMessage="1" showErrorMessage="1" sqref="D10:D17" xr:uid="{00000000-0002-0000-0D00-000000000000}">
      <formula1>$H$6:$H$8</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36"/>
  <dimension ref="B2:H20"/>
  <sheetViews>
    <sheetView showGridLines="0" topLeftCell="A9" zoomScale="90" zoomScaleNormal="90" workbookViewId="0">
      <selection activeCell="K6" sqref="K6"/>
    </sheetView>
  </sheetViews>
  <sheetFormatPr baseColWidth="10" defaultColWidth="11.44140625" defaultRowHeight="15.6" x14ac:dyDescent="0.35"/>
  <cols>
    <col min="1" max="1" width="3.6640625" style="1" customWidth="1"/>
    <col min="2" max="2" width="33.88671875" style="1" customWidth="1"/>
    <col min="3" max="3" width="50.6640625" style="1" customWidth="1"/>
    <col min="4" max="4" width="32.33203125" style="1" customWidth="1"/>
    <col min="5" max="5" width="51.5546875" style="1" customWidth="1"/>
    <col min="6" max="6" width="22.44140625" style="1" customWidth="1"/>
    <col min="7" max="7" width="18.6640625" style="1" customWidth="1"/>
    <col min="8" max="8" width="0" style="42" hidden="1" customWidth="1"/>
    <col min="9" max="16384" width="11.44140625" style="1"/>
  </cols>
  <sheetData>
    <row r="2" spans="2:8" s="36" customFormat="1" ht="35.25" customHeight="1" x14ac:dyDescent="0.4">
      <c r="B2" s="5"/>
      <c r="C2" s="34"/>
      <c r="D2" s="34"/>
      <c r="E2" s="34"/>
      <c r="F2" s="35"/>
      <c r="G2" s="35"/>
      <c r="H2" s="43"/>
    </row>
    <row r="3" spans="2:8" s="36" customFormat="1" ht="35.25" customHeight="1" x14ac:dyDescent="0.4">
      <c r="B3" s="5"/>
      <c r="C3" s="2"/>
      <c r="D3" s="3"/>
      <c r="E3" s="3"/>
      <c r="F3" s="44"/>
      <c r="G3" s="44"/>
      <c r="H3" s="43"/>
    </row>
    <row r="4" spans="2:8" s="6" customFormat="1" ht="63" customHeight="1" x14ac:dyDescent="0.4">
      <c r="C4" s="7"/>
      <c r="D4" s="7"/>
      <c r="E4" s="7"/>
      <c r="H4" s="45"/>
    </row>
    <row r="5" spans="2:8" s="6" customFormat="1" ht="36.75" customHeight="1" x14ac:dyDescent="0.4">
      <c r="B5" s="69" t="s">
        <v>1</v>
      </c>
      <c r="C5" s="37" t="str">
        <f>'Nivel 1'!C9</f>
        <v>Oficina Central</v>
      </c>
      <c r="D5" s="71" t="s">
        <v>6</v>
      </c>
      <c r="E5" s="37" t="str">
        <f>'Nivel 1'!E9</f>
        <v>Bimbo</v>
      </c>
      <c r="F5" s="89" t="s">
        <v>18</v>
      </c>
      <c r="G5" s="89"/>
      <c r="H5" s="45"/>
    </row>
    <row r="6" spans="2:8" s="6" customFormat="1" ht="45.75" customHeight="1" x14ac:dyDescent="0.4">
      <c r="B6" s="69" t="s">
        <v>2</v>
      </c>
      <c r="C6" s="37" t="str">
        <f>'Nivel 1'!C10</f>
        <v>Franklin Bratta</v>
      </c>
      <c r="D6" s="72" t="s">
        <v>5</v>
      </c>
      <c r="E6" s="37">
        <f>'Nivel 1'!E10</f>
        <v>45763</v>
      </c>
      <c r="F6" s="90"/>
      <c r="G6" s="90"/>
      <c r="H6" s="45"/>
    </row>
    <row r="7" spans="2:8" s="6" customFormat="1" ht="41.25" customHeight="1" x14ac:dyDescent="0.4">
      <c r="B7" s="70" t="s">
        <v>20</v>
      </c>
      <c r="C7" s="37" t="str">
        <f>'Nivel 1'!C11</f>
        <v>Loreto lopez</v>
      </c>
      <c r="D7" s="69" t="s">
        <v>4</v>
      </c>
      <c r="E7" s="37">
        <f>'Nivel 1'!E11</f>
        <v>0.5</v>
      </c>
      <c r="F7" s="89" t="s">
        <v>17</v>
      </c>
      <c r="G7" s="89"/>
      <c r="H7" s="45" t="s">
        <v>27</v>
      </c>
    </row>
    <row r="8" spans="2:8" s="6" customFormat="1" ht="37.5" customHeight="1" x14ac:dyDescent="0.4">
      <c r="B8" s="69" t="s">
        <v>3</v>
      </c>
      <c r="C8" s="37">
        <f>'Nivel 1'!C12</f>
        <v>45763</v>
      </c>
      <c r="D8" s="69" t="s">
        <v>7</v>
      </c>
      <c r="E8" s="37">
        <f>'Nivel 1'!E12</f>
        <v>0.75</v>
      </c>
      <c r="F8" s="92"/>
      <c r="G8" s="92"/>
      <c r="H8" s="45" t="s">
        <v>28</v>
      </c>
    </row>
    <row r="9" spans="2:8" x14ac:dyDescent="0.35">
      <c r="H9" s="42" t="s">
        <v>29</v>
      </c>
    </row>
    <row r="10" spans="2:8" s="9" customFormat="1" ht="31.2" x14ac:dyDescent="0.35">
      <c r="B10" s="86" t="s">
        <v>99</v>
      </c>
      <c r="C10" s="86"/>
      <c r="D10" s="74" t="s">
        <v>0</v>
      </c>
      <c r="E10" s="93" t="s">
        <v>114</v>
      </c>
      <c r="F10" s="93"/>
      <c r="G10" s="74" t="s">
        <v>16</v>
      </c>
      <c r="H10" s="46"/>
    </row>
    <row r="11" spans="2:8" ht="50.1" customHeight="1" x14ac:dyDescent="0.35">
      <c r="B11" s="85" t="s">
        <v>276</v>
      </c>
      <c r="C11" s="85"/>
      <c r="D11" s="40"/>
      <c r="E11" s="88"/>
      <c r="F11" s="88"/>
      <c r="G11" s="40" t="str">
        <f>IF(D11="Cumple",1,IF(D11="No Cumple",0,"NA"))</f>
        <v>NA</v>
      </c>
    </row>
    <row r="12" spans="2:8" ht="50.1" customHeight="1" x14ac:dyDescent="0.35">
      <c r="B12" s="85" t="s">
        <v>277</v>
      </c>
      <c r="C12" s="85" t="s">
        <v>278</v>
      </c>
      <c r="D12" s="40"/>
      <c r="E12" s="88"/>
      <c r="F12" s="88"/>
      <c r="G12" s="40" t="str">
        <f t="shared" ref="G12:G18" si="0">IF(D12="Cumple",1,IF(D12="No Cumple",0,"NA"))</f>
        <v>NA</v>
      </c>
    </row>
    <row r="13" spans="2:8" ht="50.1" customHeight="1" x14ac:dyDescent="0.35">
      <c r="B13" s="87" t="s">
        <v>279</v>
      </c>
      <c r="C13" s="87"/>
      <c r="D13" s="40"/>
      <c r="E13" s="88"/>
      <c r="F13" s="88"/>
      <c r="G13" s="40" t="str">
        <f t="shared" si="0"/>
        <v>NA</v>
      </c>
    </row>
    <row r="14" spans="2:8" ht="50.1" customHeight="1" x14ac:dyDescent="0.35">
      <c r="B14" s="87" t="s">
        <v>280</v>
      </c>
      <c r="C14" s="87"/>
      <c r="D14" s="40"/>
      <c r="E14" s="88"/>
      <c r="F14" s="88"/>
      <c r="G14" s="40" t="str">
        <f t="shared" si="0"/>
        <v>NA</v>
      </c>
    </row>
    <row r="15" spans="2:8" ht="50.1" customHeight="1" x14ac:dyDescent="0.35">
      <c r="B15" s="85" t="s">
        <v>281</v>
      </c>
      <c r="C15" s="85" t="s">
        <v>282</v>
      </c>
      <c r="D15" s="40"/>
      <c r="E15" s="88"/>
      <c r="F15" s="88"/>
      <c r="G15" s="40" t="str">
        <f t="shared" si="0"/>
        <v>NA</v>
      </c>
    </row>
    <row r="16" spans="2:8" ht="50.1" customHeight="1" x14ac:dyDescent="0.35">
      <c r="B16" s="85" t="s">
        <v>283</v>
      </c>
      <c r="C16" s="85" t="s">
        <v>284</v>
      </c>
      <c r="D16" s="40"/>
      <c r="E16" s="88"/>
      <c r="F16" s="88"/>
      <c r="G16" s="40" t="str">
        <f t="shared" si="0"/>
        <v>NA</v>
      </c>
    </row>
    <row r="17" spans="2:7" ht="50.1" customHeight="1" x14ac:dyDescent="0.35">
      <c r="B17" s="87" t="s">
        <v>285</v>
      </c>
      <c r="C17" s="87"/>
      <c r="D17" s="40"/>
      <c r="E17" s="88"/>
      <c r="F17" s="88"/>
      <c r="G17" s="40" t="str">
        <f t="shared" si="0"/>
        <v>NA</v>
      </c>
    </row>
    <row r="18" spans="2:7" ht="50.1" customHeight="1" x14ac:dyDescent="0.35">
      <c r="B18" s="85" t="s">
        <v>286</v>
      </c>
      <c r="C18" s="85" t="s">
        <v>287</v>
      </c>
      <c r="D18" s="40"/>
      <c r="E18" s="88"/>
      <c r="F18" s="88"/>
      <c r="G18" s="40" t="str">
        <f t="shared" si="0"/>
        <v>NA</v>
      </c>
    </row>
    <row r="19" spans="2:7" ht="30" customHeight="1" x14ac:dyDescent="0.35">
      <c r="F19" s="86" t="s">
        <v>15</v>
      </c>
      <c r="G19" s="40">
        <f>SUMIF(G11:G18,"&lt;2")</f>
        <v>0</v>
      </c>
    </row>
    <row r="20" spans="2:7" x14ac:dyDescent="0.35">
      <c r="F20" s="86"/>
      <c r="G20" s="41" t="str">
        <f>IFERROR((G19*1)/(COUNTIF(G11:G18,"&lt;2")),"NA")</f>
        <v>NA</v>
      </c>
    </row>
  </sheetData>
  <mergeCells count="23">
    <mergeCell ref="B12:C12"/>
    <mergeCell ref="E12:F12"/>
    <mergeCell ref="F19:F20"/>
    <mergeCell ref="B10:C10"/>
    <mergeCell ref="E10:F10"/>
    <mergeCell ref="B11:C11"/>
    <mergeCell ref="B13:C13"/>
    <mergeCell ref="B14:C14"/>
    <mergeCell ref="B15:C15"/>
    <mergeCell ref="E18:F18"/>
    <mergeCell ref="B16:C16"/>
    <mergeCell ref="B18:C18"/>
    <mergeCell ref="E13:F13"/>
    <mergeCell ref="E15:F15"/>
    <mergeCell ref="E16:F16"/>
    <mergeCell ref="B17:C17"/>
    <mergeCell ref="E17:F17"/>
    <mergeCell ref="F5:G5"/>
    <mergeCell ref="E11:F11"/>
    <mergeCell ref="F8:G8"/>
    <mergeCell ref="F6:G6"/>
    <mergeCell ref="F7:G7"/>
    <mergeCell ref="E14:F14"/>
  </mergeCells>
  <dataValidations count="1">
    <dataValidation type="list" allowBlank="1" showInputMessage="1" showErrorMessage="1" sqref="D11:D18" xr:uid="{00000000-0002-0000-0E00-000000000000}">
      <formula1>$H$7:$H$9</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7A6D-3BE4-4789-8918-5843F4A6ABEF}">
  <dimension ref="B3:H19"/>
  <sheetViews>
    <sheetView showGridLines="0" topLeftCell="A7" zoomScale="80" zoomScaleNormal="80" workbookViewId="0">
      <selection activeCell="E17" sqref="E17:F17"/>
    </sheetView>
  </sheetViews>
  <sheetFormatPr baseColWidth="10" defaultColWidth="11.44140625" defaultRowHeight="15.6" x14ac:dyDescent="0.35"/>
  <cols>
    <col min="1" max="1" width="3.109375" style="1" customWidth="1"/>
    <col min="2" max="2" width="35.88671875" style="1" customWidth="1"/>
    <col min="3" max="3" width="50.6640625" style="1" customWidth="1"/>
    <col min="4" max="4" width="26.109375" style="1" customWidth="1"/>
    <col min="5" max="5" width="51.5546875" style="1" customWidth="1"/>
    <col min="6" max="6" width="21.44140625" style="1" customWidth="1"/>
    <col min="7" max="7" width="17.88671875" style="1" customWidth="1"/>
    <col min="8" max="8" width="0" style="42" hidden="1" customWidth="1"/>
    <col min="9" max="16384" width="11.44140625" style="1"/>
  </cols>
  <sheetData>
    <row r="3" spans="2:8" s="5" customFormat="1" ht="35.25" customHeight="1" x14ac:dyDescent="0.4">
      <c r="C3" s="34"/>
      <c r="D3" s="34"/>
      <c r="E3" s="34"/>
      <c r="F3" s="35"/>
      <c r="G3" s="35"/>
      <c r="H3" s="56"/>
    </row>
    <row r="4" spans="2:8" s="5" customFormat="1" ht="35.25" customHeight="1" x14ac:dyDescent="0.4">
      <c r="C4" s="2"/>
      <c r="D4" s="3"/>
      <c r="E4" s="3"/>
      <c r="F4" s="44"/>
      <c r="G4" s="44"/>
      <c r="H4" s="56"/>
    </row>
    <row r="5" spans="2:8" s="57" customFormat="1" ht="26.25" customHeight="1" x14ac:dyDescent="0.4">
      <c r="C5" s="4"/>
      <c r="D5" s="4"/>
      <c r="E5" s="4"/>
      <c r="H5" s="58"/>
    </row>
    <row r="6" spans="2:8" s="6" customFormat="1" ht="31.5" customHeight="1" x14ac:dyDescent="0.4">
      <c r="B6" s="69" t="s">
        <v>1</v>
      </c>
      <c r="C6" s="37" t="str">
        <f>'Nivel 1'!C9</f>
        <v>Oficina Central</v>
      </c>
      <c r="D6" s="71" t="s">
        <v>6</v>
      </c>
      <c r="E6" s="37" t="str">
        <f>'Nivel 1'!E9</f>
        <v>Bimbo</v>
      </c>
      <c r="F6" s="89" t="s">
        <v>18</v>
      </c>
      <c r="G6" s="89"/>
      <c r="H6" s="45"/>
    </row>
    <row r="7" spans="2:8" s="6" customFormat="1" ht="34.799999999999997" x14ac:dyDescent="0.4">
      <c r="B7" s="69" t="s">
        <v>2</v>
      </c>
      <c r="C7" s="37" t="str">
        <f>'Nivel 1'!C10</f>
        <v>Franklin Bratta</v>
      </c>
      <c r="D7" s="72" t="s">
        <v>5</v>
      </c>
      <c r="E7" s="37">
        <f>'Nivel 1'!E10</f>
        <v>45763</v>
      </c>
      <c r="F7" s="90"/>
      <c r="G7" s="90"/>
      <c r="H7" s="45"/>
    </row>
    <row r="8" spans="2:8" s="6" customFormat="1" ht="42.75" customHeight="1" x14ac:dyDescent="0.4">
      <c r="B8" s="70" t="s">
        <v>20</v>
      </c>
      <c r="C8" s="37" t="str">
        <f>'Nivel 1'!C11</f>
        <v>Loreto lopez</v>
      </c>
      <c r="D8" s="69" t="s">
        <v>4</v>
      </c>
      <c r="E8" s="37">
        <f>'Nivel 1'!E11</f>
        <v>0.5</v>
      </c>
      <c r="F8" s="89" t="s">
        <v>17</v>
      </c>
      <c r="G8" s="89"/>
      <c r="H8" s="45" t="s">
        <v>27</v>
      </c>
    </row>
    <row r="9" spans="2:8" s="6" customFormat="1" ht="32.25" customHeight="1" x14ac:dyDescent="0.4">
      <c r="B9" s="69" t="s">
        <v>3</v>
      </c>
      <c r="C9" s="37">
        <f>'Nivel 1'!C12</f>
        <v>45763</v>
      </c>
      <c r="D9" s="69" t="s">
        <v>7</v>
      </c>
      <c r="E9" s="37">
        <f>'Nivel 1'!E12</f>
        <v>0.75</v>
      </c>
      <c r="F9" s="91">
        <f>G19</f>
        <v>1</v>
      </c>
      <c r="G9" s="92"/>
      <c r="H9" s="45" t="s">
        <v>28</v>
      </c>
    </row>
    <row r="10" spans="2:8" x14ac:dyDescent="0.35">
      <c r="H10" s="42" t="s">
        <v>29</v>
      </c>
    </row>
    <row r="11" spans="2:8" s="9" customFormat="1" ht="31.2" x14ac:dyDescent="0.35">
      <c r="B11" s="86" t="s">
        <v>50</v>
      </c>
      <c r="C11" s="86"/>
      <c r="D11" s="74" t="s">
        <v>0</v>
      </c>
      <c r="E11" s="93" t="s">
        <v>114</v>
      </c>
      <c r="F11" s="93"/>
      <c r="G11" s="74" t="s">
        <v>16</v>
      </c>
      <c r="H11" s="46"/>
    </row>
    <row r="12" spans="2:8" s="38" customFormat="1" ht="50.1" customHeight="1" x14ac:dyDescent="0.35">
      <c r="B12" s="87" t="s">
        <v>51</v>
      </c>
      <c r="C12" s="87"/>
      <c r="D12" s="40" t="s">
        <v>27</v>
      </c>
      <c r="E12" s="88"/>
      <c r="F12" s="88"/>
      <c r="G12" s="40">
        <f>IF(D12="Cumple",1,IF(D12="No Cumple",0,"NA"))</f>
        <v>1</v>
      </c>
      <c r="H12" s="47"/>
    </row>
    <row r="13" spans="2:8" s="38" customFormat="1" ht="50.1" customHeight="1" x14ac:dyDescent="0.35">
      <c r="B13" s="105" t="s">
        <v>52</v>
      </c>
      <c r="C13" s="105"/>
      <c r="D13" s="40" t="s">
        <v>27</v>
      </c>
      <c r="E13" s="88"/>
      <c r="F13" s="88"/>
      <c r="G13" s="40">
        <f>IF(D13="Cumple",1,IF(D13="No Cumple",0,"NA"))</f>
        <v>1</v>
      </c>
      <c r="H13" s="47"/>
    </row>
    <row r="14" spans="2:8" s="38" customFormat="1" ht="50.1" customHeight="1" x14ac:dyDescent="0.3">
      <c r="B14" s="105" t="s">
        <v>53</v>
      </c>
      <c r="C14" s="105"/>
      <c r="D14" s="40" t="s">
        <v>27</v>
      </c>
      <c r="E14" s="106"/>
      <c r="F14" s="106"/>
      <c r="G14" s="40">
        <f t="shared" ref="G14:G17" si="0">IF(D14="Cumple",1,IF(D14="No Cumple",0,"NA"))</f>
        <v>1</v>
      </c>
      <c r="H14" s="47"/>
    </row>
    <row r="15" spans="2:8" s="38" customFormat="1" ht="50.1" customHeight="1" x14ac:dyDescent="0.3">
      <c r="B15" s="87" t="s">
        <v>54</v>
      </c>
      <c r="C15" s="87"/>
      <c r="D15" s="40" t="s">
        <v>27</v>
      </c>
      <c r="E15" s="106"/>
      <c r="F15" s="106"/>
      <c r="G15" s="40">
        <f t="shared" si="0"/>
        <v>1</v>
      </c>
      <c r="H15" s="47"/>
    </row>
    <row r="16" spans="2:8" s="38" customFormat="1" ht="50.1" customHeight="1" x14ac:dyDescent="0.3">
      <c r="B16" s="87" t="s">
        <v>55</v>
      </c>
      <c r="C16" s="87"/>
      <c r="D16" s="40" t="s">
        <v>27</v>
      </c>
      <c r="E16" s="106"/>
      <c r="F16" s="106"/>
      <c r="G16" s="40">
        <f t="shared" si="0"/>
        <v>1</v>
      </c>
      <c r="H16" s="47"/>
    </row>
    <row r="17" spans="2:8" s="38" customFormat="1" ht="50.1" customHeight="1" x14ac:dyDescent="0.3">
      <c r="B17" s="87" t="s">
        <v>82</v>
      </c>
      <c r="C17" s="87"/>
      <c r="D17" s="40" t="s">
        <v>27</v>
      </c>
      <c r="E17" s="106"/>
      <c r="F17" s="106"/>
      <c r="G17" s="40">
        <f t="shared" si="0"/>
        <v>1</v>
      </c>
      <c r="H17" s="47"/>
    </row>
    <row r="18" spans="2:8" ht="30" customHeight="1" x14ac:dyDescent="0.35">
      <c r="F18" s="86" t="s">
        <v>15</v>
      </c>
      <c r="G18" s="40">
        <f>SUMIF(G12:G17,"&lt;2")</f>
        <v>6</v>
      </c>
    </row>
    <row r="19" spans="2:8" x14ac:dyDescent="0.35">
      <c r="F19" s="86"/>
      <c r="G19" s="41">
        <f>IFERROR((G18*1)/(COUNTIF(G12:G17,"&lt;2")),"NA")</f>
        <v>1</v>
      </c>
    </row>
  </sheetData>
  <mergeCells count="19">
    <mergeCell ref="F7:G7"/>
    <mergeCell ref="F6:G6"/>
    <mergeCell ref="B13:C13"/>
    <mergeCell ref="B14:C14"/>
    <mergeCell ref="E14:F14"/>
    <mergeCell ref="B15:C15"/>
    <mergeCell ref="E15:F15"/>
    <mergeCell ref="E13:F13"/>
    <mergeCell ref="F8:G8"/>
    <mergeCell ref="F9:G9"/>
    <mergeCell ref="B11:C11"/>
    <mergeCell ref="E11:F11"/>
    <mergeCell ref="B12:C12"/>
    <mergeCell ref="E12:F12"/>
    <mergeCell ref="B17:C17"/>
    <mergeCell ref="E17:F17"/>
    <mergeCell ref="F18:F19"/>
    <mergeCell ref="B16:C16"/>
    <mergeCell ref="E16:F16"/>
  </mergeCells>
  <dataValidations count="1">
    <dataValidation type="list" allowBlank="1" showInputMessage="1" showErrorMessage="1" sqref="D12:D17" xr:uid="{DE68182A-B53E-44BE-9A72-62146F5E8189}">
      <formula1>$H$8:$H$10</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H20"/>
  <sheetViews>
    <sheetView showGridLines="0" topLeftCell="A9" zoomScale="105" zoomScaleNormal="130" workbookViewId="0">
      <selection activeCell="J5" sqref="J5"/>
    </sheetView>
  </sheetViews>
  <sheetFormatPr baseColWidth="10" defaultColWidth="11.44140625" defaultRowHeight="15.6" x14ac:dyDescent="0.35"/>
  <cols>
    <col min="1" max="1" width="3.109375" style="1" customWidth="1"/>
    <col min="2" max="2" width="39.109375" style="1" customWidth="1"/>
    <col min="3" max="3" width="50.6640625" style="1" customWidth="1"/>
    <col min="4" max="4" width="26.109375" style="1" customWidth="1"/>
    <col min="5" max="5" width="51.5546875" style="1" customWidth="1"/>
    <col min="6" max="6" width="21.44140625" style="1" customWidth="1"/>
    <col min="7" max="7" width="17.88671875" style="1" customWidth="1"/>
    <col min="8" max="8" width="0" style="42" hidden="1" customWidth="1"/>
    <col min="9" max="16384" width="11.44140625" style="1"/>
  </cols>
  <sheetData>
    <row r="1" spans="2:8" s="36" customFormat="1" ht="35.25" customHeight="1" x14ac:dyDescent="0.4">
      <c r="B1" s="5"/>
      <c r="C1" s="34"/>
      <c r="D1" s="34"/>
      <c r="E1" s="34"/>
      <c r="F1" s="35"/>
      <c r="G1" s="35"/>
      <c r="H1" s="43"/>
    </row>
    <row r="2" spans="2:8" s="36" customFormat="1" ht="75" customHeight="1" x14ac:dyDescent="0.4">
      <c r="B2" s="5"/>
      <c r="C2" s="2"/>
      <c r="D2" s="3"/>
      <c r="E2" s="3"/>
      <c r="F2" s="44"/>
      <c r="G2" s="44"/>
      <c r="H2" s="43"/>
    </row>
    <row r="3" spans="2:8" s="6" customFormat="1" ht="17.399999999999999" x14ac:dyDescent="0.4">
      <c r="C3" s="7"/>
      <c r="D3" s="7"/>
      <c r="E3" s="7"/>
      <c r="H3" s="45"/>
    </row>
    <row r="4" spans="2:8" s="6" customFormat="1" ht="42.75" customHeight="1" x14ac:dyDescent="0.4">
      <c r="B4" s="69" t="s">
        <v>1</v>
      </c>
      <c r="C4" s="59" t="str">
        <f>'Nivel 1'!C9</f>
        <v>Oficina Central</v>
      </c>
      <c r="D4" s="71" t="s">
        <v>6</v>
      </c>
      <c r="E4" s="59" t="str">
        <f>'Nivel 1'!E9</f>
        <v>Bimbo</v>
      </c>
      <c r="F4" s="89" t="s">
        <v>18</v>
      </c>
      <c r="G4" s="89"/>
      <c r="H4" s="45"/>
    </row>
    <row r="5" spans="2:8" s="6" customFormat="1" ht="57.75" customHeight="1" x14ac:dyDescent="0.4">
      <c r="B5" s="69" t="s">
        <v>2</v>
      </c>
      <c r="C5" s="59" t="str">
        <f>'Nivel 1'!C10</f>
        <v>Franklin Bratta</v>
      </c>
      <c r="D5" s="72" t="s">
        <v>5</v>
      </c>
      <c r="E5" s="60">
        <f>'Nivel 1'!E10</f>
        <v>45763</v>
      </c>
      <c r="F5" s="117"/>
      <c r="G5" s="117"/>
      <c r="H5" s="45"/>
    </row>
    <row r="6" spans="2:8" s="6" customFormat="1" ht="34.799999999999997" x14ac:dyDescent="0.4">
      <c r="B6" s="70" t="s">
        <v>20</v>
      </c>
      <c r="C6" s="59" t="str">
        <f>'Nivel 1'!C11</f>
        <v>Loreto lopez</v>
      </c>
      <c r="D6" s="69" t="s">
        <v>4</v>
      </c>
      <c r="E6" s="59">
        <f>'Nivel 1'!E11</f>
        <v>0.5</v>
      </c>
      <c r="F6" s="89" t="s">
        <v>17</v>
      </c>
      <c r="G6" s="89"/>
      <c r="H6" s="45" t="s">
        <v>27</v>
      </c>
    </row>
    <row r="7" spans="2:8" s="6" customFormat="1" ht="17.399999999999999" x14ac:dyDescent="0.4">
      <c r="B7" s="69" t="s">
        <v>3</v>
      </c>
      <c r="C7" s="59">
        <f>'Nivel 1'!C12</f>
        <v>45763</v>
      </c>
      <c r="D7" s="69" t="s">
        <v>7</v>
      </c>
      <c r="E7" s="60">
        <f>'Nivel 1'!E12</f>
        <v>0.75</v>
      </c>
      <c r="F7" s="115">
        <f>G20</f>
        <v>0.77777777777777779</v>
      </c>
      <c r="G7" s="116"/>
      <c r="H7" s="45" t="s">
        <v>28</v>
      </c>
    </row>
    <row r="8" spans="2:8" x14ac:dyDescent="0.35">
      <c r="H8" s="42" t="s">
        <v>29</v>
      </c>
    </row>
    <row r="9" spans="2:8" s="9" customFormat="1" ht="31.2" x14ac:dyDescent="0.35">
      <c r="B9" s="86" t="s">
        <v>21</v>
      </c>
      <c r="C9" s="86"/>
      <c r="D9" s="74" t="s">
        <v>0</v>
      </c>
      <c r="E9" s="93" t="s">
        <v>114</v>
      </c>
      <c r="F9" s="93"/>
      <c r="G9" s="74" t="s">
        <v>16</v>
      </c>
      <c r="H9" s="46"/>
    </row>
    <row r="10" spans="2:8" s="38" customFormat="1" ht="50.1" customHeight="1" x14ac:dyDescent="0.35">
      <c r="B10" s="112" t="s">
        <v>85</v>
      </c>
      <c r="C10" s="112"/>
      <c r="D10" s="61" t="s">
        <v>27</v>
      </c>
      <c r="E10" s="113"/>
      <c r="F10" s="114"/>
      <c r="G10" s="61">
        <f>IF(D10="Cumple",1,IF(D10="No Cumple",0,"NA"))</f>
        <v>1</v>
      </c>
      <c r="H10" s="47"/>
    </row>
    <row r="11" spans="2:8" s="38" customFormat="1" ht="50.1" customHeight="1" x14ac:dyDescent="0.35">
      <c r="B11" s="111" t="s">
        <v>86</v>
      </c>
      <c r="C11" s="111"/>
      <c r="D11" s="39" t="s">
        <v>28</v>
      </c>
      <c r="E11" s="49"/>
      <c r="F11" s="50"/>
      <c r="G11" s="39">
        <f t="shared" ref="G11:G12" si="0">IF(D11="Cumple",1,IF(D11="No Cumple",0,"NA"))</f>
        <v>0</v>
      </c>
      <c r="H11" s="47"/>
    </row>
    <row r="12" spans="2:8" s="38" customFormat="1" ht="50.1" customHeight="1" x14ac:dyDescent="0.35">
      <c r="B12" s="109" t="s">
        <v>83</v>
      </c>
      <c r="C12" s="110"/>
      <c r="D12" s="39" t="s">
        <v>28</v>
      </c>
      <c r="E12" s="49"/>
      <c r="F12" s="50"/>
      <c r="G12" s="39">
        <f t="shared" si="0"/>
        <v>0</v>
      </c>
      <c r="H12" s="47"/>
    </row>
    <row r="13" spans="2:8" s="38" customFormat="1" ht="50.1" customHeight="1" x14ac:dyDescent="0.3">
      <c r="B13" s="107" t="s">
        <v>84</v>
      </c>
      <c r="C13" s="107" t="s">
        <v>236</v>
      </c>
      <c r="D13" s="39" t="s">
        <v>27</v>
      </c>
      <c r="E13" s="108"/>
      <c r="F13" s="108"/>
      <c r="G13" s="39">
        <f t="shared" ref="G13:G18" si="1">IF(D13="Cumple",1,IF(D13="No Cumple",0,"NA"))</f>
        <v>1</v>
      </c>
      <c r="H13" s="47"/>
    </row>
    <row r="14" spans="2:8" s="38" customFormat="1" ht="50.1" customHeight="1" x14ac:dyDescent="0.3">
      <c r="B14" s="107" t="s">
        <v>242</v>
      </c>
      <c r="C14" s="107" t="s">
        <v>237</v>
      </c>
      <c r="D14" s="39" t="s">
        <v>27</v>
      </c>
      <c r="E14" s="108"/>
      <c r="F14" s="108"/>
      <c r="G14" s="39">
        <f t="shared" si="1"/>
        <v>1</v>
      </c>
      <c r="H14" s="47"/>
    </row>
    <row r="15" spans="2:8" s="38" customFormat="1" ht="50.1" customHeight="1" x14ac:dyDescent="0.3">
      <c r="B15" s="107" t="s">
        <v>243</v>
      </c>
      <c r="C15" s="107" t="s">
        <v>238</v>
      </c>
      <c r="D15" s="39" t="s">
        <v>27</v>
      </c>
      <c r="E15" s="108"/>
      <c r="F15" s="108"/>
      <c r="G15" s="39">
        <f t="shared" si="1"/>
        <v>1</v>
      </c>
      <c r="H15" s="47"/>
    </row>
    <row r="16" spans="2:8" ht="50.1" customHeight="1" x14ac:dyDescent="0.35">
      <c r="B16" s="107" t="s">
        <v>244</v>
      </c>
      <c r="C16" s="107" t="s">
        <v>239</v>
      </c>
      <c r="D16" s="39" t="s">
        <v>27</v>
      </c>
      <c r="E16" s="108"/>
      <c r="F16" s="108"/>
      <c r="G16" s="39">
        <f t="shared" si="1"/>
        <v>1</v>
      </c>
    </row>
    <row r="17" spans="2:7" ht="50.1" customHeight="1" x14ac:dyDescent="0.35">
      <c r="B17" s="107" t="s">
        <v>245</v>
      </c>
      <c r="C17" s="107" t="s">
        <v>240</v>
      </c>
      <c r="D17" s="39" t="s">
        <v>27</v>
      </c>
      <c r="E17" s="108"/>
      <c r="F17" s="108"/>
      <c r="G17" s="39">
        <f t="shared" si="1"/>
        <v>1</v>
      </c>
    </row>
    <row r="18" spans="2:7" ht="50.1" customHeight="1" x14ac:dyDescent="0.35">
      <c r="B18" s="107" t="s">
        <v>246</v>
      </c>
      <c r="C18" s="107" t="s">
        <v>241</v>
      </c>
      <c r="D18" s="39" t="s">
        <v>27</v>
      </c>
      <c r="E18" s="108"/>
      <c r="F18" s="118"/>
      <c r="G18" s="48">
        <f t="shared" si="1"/>
        <v>1</v>
      </c>
    </row>
    <row r="19" spans="2:7" ht="30" customHeight="1" x14ac:dyDescent="0.35">
      <c r="F19" s="86" t="s">
        <v>15</v>
      </c>
      <c r="G19" s="40">
        <f>SUMIF(G10:G18,"&lt;2")</f>
        <v>7</v>
      </c>
    </row>
    <row r="20" spans="2:7" x14ac:dyDescent="0.35">
      <c r="F20" s="86"/>
      <c r="G20" s="41">
        <f>IFERROR((G19*1)/(COUNTIF(G10:G18,"&lt;2")),"NA")</f>
        <v>0.77777777777777779</v>
      </c>
    </row>
  </sheetData>
  <mergeCells count="23">
    <mergeCell ref="F19:F20"/>
    <mergeCell ref="F7:G7"/>
    <mergeCell ref="F4:G4"/>
    <mergeCell ref="F5:G5"/>
    <mergeCell ref="F6:G6"/>
    <mergeCell ref="E18:F18"/>
    <mergeCell ref="B9:C9"/>
    <mergeCell ref="E9:F9"/>
    <mergeCell ref="B10:C10"/>
    <mergeCell ref="E10:F10"/>
    <mergeCell ref="B13:C13"/>
    <mergeCell ref="E13:F13"/>
    <mergeCell ref="B14:C14"/>
    <mergeCell ref="B12:C12"/>
    <mergeCell ref="B11:C11"/>
    <mergeCell ref="B15:C15"/>
    <mergeCell ref="E15:F15"/>
    <mergeCell ref="E14:F14"/>
    <mergeCell ref="B17:C17"/>
    <mergeCell ref="E16:F16"/>
    <mergeCell ref="E17:F17"/>
    <mergeCell ref="B16:C16"/>
    <mergeCell ref="B18:C18"/>
  </mergeCells>
  <dataValidations count="1">
    <dataValidation type="list" allowBlank="1" showInputMessage="1" showErrorMessage="1" sqref="D10:D18" xr:uid="{00000000-0002-0000-1200-000000000000}">
      <formula1>$H$6:$H$8</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3:H29"/>
  <sheetViews>
    <sheetView showGridLines="0" view="pageBreakPreview" topLeftCell="A10" zoomScale="80" zoomScaleNormal="73" zoomScaleSheetLayoutView="80" workbookViewId="0">
      <selection activeCell="L15" sqref="L15"/>
    </sheetView>
  </sheetViews>
  <sheetFormatPr baseColWidth="10" defaultColWidth="11.44140625" defaultRowHeight="15.6" x14ac:dyDescent="0.35"/>
  <cols>
    <col min="1" max="1" width="3.109375" style="1" customWidth="1"/>
    <col min="2" max="2" width="27.88671875" style="1" customWidth="1"/>
    <col min="3" max="3" width="50.6640625" style="63" customWidth="1"/>
    <col min="4" max="4" width="26.109375" style="1" customWidth="1"/>
    <col min="5" max="5" width="51.5546875" style="1" customWidth="1"/>
    <col min="6" max="6" width="21.44140625" style="1" customWidth="1"/>
    <col min="7" max="7" width="17.88671875" style="1" customWidth="1"/>
    <col min="8" max="8" width="0" style="42" hidden="1" customWidth="1"/>
    <col min="9" max="16384" width="11.44140625" style="1"/>
  </cols>
  <sheetData>
    <row r="3" spans="2:8" s="36" customFormat="1" ht="35.25" customHeight="1" x14ac:dyDescent="0.4">
      <c r="B3" s="5"/>
      <c r="C3" s="34"/>
      <c r="D3" s="34"/>
      <c r="E3" s="34"/>
      <c r="F3" s="35"/>
      <c r="G3" s="35"/>
      <c r="H3" s="43"/>
    </row>
    <row r="4" spans="2:8" s="36" customFormat="1" ht="35.25" customHeight="1" x14ac:dyDescent="0.4">
      <c r="B4" s="5"/>
      <c r="C4" s="2"/>
      <c r="D4" s="3"/>
      <c r="E4" s="3"/>
      <c r="F4" s="44"/>
      <c r="G4" s="44"/>
      <c r="H4" s="43"/>
    </row>
    <row r="5" spans="2:8" s="6" customFormat="1" ht="17.399999999999999" x14ac:dyDescent="0.4">
      <c r="C5" s="62"/>
      <c r="D5" s="7"/>
      <c r="E5" s="7"/>
      <c r="H5" s="45"/>
    </row>
    <row r="6" spans="2:8" s="6" customFormat="1" ht="40.5" customHeight="1" x14ac:dyDescent="0.4">
      <c r="B6" s="69" t="s">
        <v>1</v>
      </c>
      <c r="C6" s="37" t="str">
        <f>'Nivel 1'!C9</f>
        <v>Oficina Central</v>
      </c>
      <c r="D6" s="71" t="s">
        <v>6</v>
      </c>
      <c r="E6" s="37" t="str">
        <f>'Nivel 1'!E9</f>
        <v>Bimbo</v>
      </c>
      <c r="F6" s="89" t="s">
        <v>18</v>
      </c>
      <c r="G6" s="89"/>
      <c r="H6" s="45"/>
    </row>
    <row r="7" spans="2:8" s="6" customFormat="1" ht="46.5" customHeight="1" x14ac:dyDescent="0.4">
      <c r="B7" s="69" t="s">
        <v>2</v>
      </c>
      <c r="C7" s="37" t="str">
        <f>'Nivel 1'!C10</f>
        <v>Franklin Bratta</v>
      </c>
      <c r="D7" s="72" t="s">
        <v>5</v>
      </c>
      <c r="E7" s="37">
        <f>'Nivel 1'!E10</f>
        <v>45763</v>
      </c>
      <c r="F7" s="90"/>
      <c r="G7" s="90"/>
      <c r="H7" s="45"/>
    </row>
    <row r="8" spans="2:8" s="6" customFormat="1" ht="46.5" customHeight="1" x14ac:dyDescent="0.4">
      <c r="B8" s="70" t="s">
        <v>20</v>
      </c>
      <c r="C8" s="37" t="str">
        <f>'Nivel 1'!C11</f>
        <v>Loreto lopez</v>
      </c>
      <c r="D8" s="69" t="s">
        <v>4</v>
      </c>
      <c r="E8" s="37">
        <f>'Nivel 1'!E11</f>
        <v>0.5</v>
      </c>
      <c r="F8" s="89" t="s">
        <v>17</v>
      </c>
      <c r="G8" s="89"/>
      <c r="H8" s="45" t="s">
        <v>27</v>
      </c>
    </row>
    <row r="9" spans="2:8" s="6" customFormat="1" ht="29.25" customHeight="1" x14ac:dyDescent="0.4">
      <c r="B9" s="69" t="s">
        <v>3</v>
      </c>
      <c r="C9" s="37">
        <f>'Nivel 1'!C12</f>
        <v>45763</v>
      </c>
      <c r="D9" s="69" t="s">
        <v>7</v>
      </c>
      <c r="E9" s="37">
        <f>'Nivel 1'!E12</f>
        <v>0.75</v>
      </c>
      <c r="F9" s="91">
        <f>G29</f>
        <v>1</v>
      </c>
      <c r="G9" s="92"/>
      <c r="H9" s="45" t="s">
        <v>28</v>
      </c>
    </row>
    <row r="10" spans="2:8" x14ac:dyDescent="0.35">
      <c r="H10" s="42" t="s">
        <v>29</v>
      </c>
    </row>
    <row r="11" spans="2:8" s="9" customFormat="1" ht="31.2" x14ac:dyDescent="0.35">
      <c r="B11" s="86" t="s">
        <v>24</v>
      </c>
      <c r="C11" s="86"/>
      <c r="D11" s="74" t="s">
        <v>0</v>
      </c>
      <c r="E11" s="93" t="s">
        <v>114</v>
      </c>
      <c r="F11" s="93"/>
      <c r="G11" s="74" t="s">
        <v>16</v>
      </c>
      <c r="H11" s="46"/>
    </row>
    <row r="12" spans="2:8" s="38" customFormat="1" ht="50.1" customHeight="1" x14ac:dyDescent="0.35">
      <c r="B12" s="105" t="s">
        <v>247</v>
      </c>
      <c r="C12" s="105"/>
      <c r="D12" s="40" t="s">
        <v>27</v>
      </c>
      <c r="E12" s="88"/>
      <c r="F12" s="88"/>
      <c r="G12" s="40">
        <f>IF(D12="Cumple",1,IF(D12="No Cumple",0,"NA"))</f>
        <v>1</v>
      </c>
      <c r="H12" s="47"/>
    </row>
    <row r="13" spans="2:8" s="38" customFormat="1" ht="50.1" customHeight="1" x14ac:dyDescent="0.35">
      <c r="B13" s="105" t="s">
        <v>248</v>
      </c>
      <c r="C13" s="105"/>
      <c r="D13" s="40" t="s">
        <v>27</v>
      </c>
      <c r="E13" s="88"/>
      <c r="F13" s="88"/>
      <c r="G13" s="40">
        <f>IF(D13="Cumple",1,IF(D13="No Cumple",0,"NA"))</f>
        <v>1</v>
      </c>
      <c r="H13" s="47"/>
    </row>
    <row r="14" spans="2:8" s="38" customFormat="1" ht="50.1" customHeight="1" x14ac:dyDescent="0.35">
      <c r="B14" s="87" t="s">
        <v>249</v>
      </c>
      <c r="C14" s="87"/>
      <c r="D14" s="40" t="s">
        <v>27</v>
      </c>
      <c r="E14" s="88"/>
      <c r="F14" s="88"/>
      <c r="G14" s="40">
        <f t="shared" ref="G14:G15" si="0">IF(D14="Cumple",1,IF(D14="No Cumple",0,"NA"))</f>
        <v>1</v>
      </c>
      <c r="H14" s="47"/>
    </row>
    <row r="15" spans="2:8" s="38" customFormat="1" ht="50.1" customHeight="1" x14ac:dyDescent="0.35">
      <c r="B15" s="87" t="s">
        <v>250</v>
      </c>
      <c r="C15" s="87"/>
      <c r="D15" s="40" t="s">
        <v>27</v>
      </c>
      <c r="E15" s="88"/>
      <c r="F15" s="88"/>
      <c r="G15" s="40">
        <f t="shared" si="0"/>
        <v>1</v>
      </c>
      <c r="H15" s="47"/>
    </row>
    <row r="16" spans="2:8" s="38" customFormat="1" ht="50.1" customHeight="1" x14ac:dyDescent="0.35">
      <c r="B16" s="87" t="s">
        <v>251</v>
      </c>
      <c r="C16" s="87"/>
      <c r="D16" s="40" t="s">
        <v>27</v>
      </c>
      <c r="E16" s="88"/>
      <c r="F16" s="88"/>
      <c r="G16" s="40">
        <f>IF(D16="Cumple",1,IF(D16="No Cumple",0,"NA"))</f>
        <v>1</v>
      </c>
      <c r="H16" s="47"/>
    </row>
    <row r="17" spans="2:8" s="38" customFormat="1" ht="50.1" customHeight="1" x14ac:dyDescent="0.3">
      <c r="B17" s="87" t="s">
        <v>252</v>
      </c>
      <c r="C17" s="87"/>
      <c r="D17" s="40" t="s">
        <v>27</v>
      </c>
      <c r="E17" s="106"/>
      <c r="F17" s="106"/>
      <c r="G17" s="40">
        <f t="shared" ref="G17:G27" si="1">IF(D17="Cumple",1,IF(D17="No Cumple",0,"NA"))</f>
        <v>1</v>
      </c>
      <c r="H17" s="47"/>
    </row>
    <row r="18" spans="2:8" s="38" customFormat="1" ht="50.1" customHeight="1" x14ac:dyDescent="0.3">
      <c r="B18" s="87" t="s">
        <v>253</v>
      </c>
      <c r="C18" s="87"/>
      <c r="D18" s="40" t="s">
        <v>27</v>
      </c>
      <c r="E18" s="106"/>
      <c r="F18" s="106"/>
      <c r="G18" s="40">
        <f t="shared" si="1"/>
        <v>1</v>
      </c>
      <c r="H18" s="47"/>
    </row>
    <row r="19" spans="2:8" s="38" customFormat="1" ht="50.1" customHeight="1" x14ac:dyDescent="0.3">
      <c r="B19" s="87" t="s">
        <v>254</v>
      </c>
      <c r="C19" s="87"/>
      <c r="D19" s="40" t="s">
        <v>27</v>
      </c>
      <c r="E19" s="106"/>
      <c r="F19" s="106"/>
      <c r="G19" s="40">
        <f t="shared" si="1"/>
        <v>1</v>
      </c>
      <c r="H19" s="47"/>
    </row>
    <row r="20" spans="2:8" s="38" customFormat="1" ht="50.1" customHeight="1" x14ac:dyDescent="0.3">
      <c r="B20" s="87" t="s">
        <v>255</v>
      </c>
      <c r="C20" s="87"/>
      <c r="D20" s="40" t="s">
        <v>27</v>
      </c>
      <c r="E20" s="106"/>
      <c r="F20" s="106"/>
      <c r="G20" s="40">
        <f t="shared" si="1"/>
        <v>1</v>
      </c>
      <c r="H20" s="47"/>
    </row>
    <row r="21" spans="2:8" ht="50.1" customHeight="1" x14ac:dyDescent="0.35">
      <c r="B21" s="87" t="s">
        <v>256</v>
      </c>
      <c r="C21" s="87"/>
      <c r="D21" s="40" t="s">
        <v>27</v>
      </c>
      <c r="E21" s="106"/>
      <c r="F21" s="106"/>
      <c r="G21" s="40">
        <f t="shared" si="1"/>
        <v>1</v>
      </c>
    </row>
    <row r="22" spans="2:8" ht="50.1" customHeight="1" x14ac:dyDescent="0.35">
      <c r="B22" s="87" t="s">
        <v>257</v>
      </c>
      <c r="C22" s="87"/>
      <c r="D22" s="40" t="s">
        <v>27</v>
      </c>
      <c r="E22" s="106"/>
      <c r="F22" s="106"/>
      <c r="G22" s="40">
        <f t="shared" si="1"/>
        <v>1</v>
      </c>
    </row>
    <row r="23" spans="2:8" ht="50.1" customHeight="1" x14ac:dyDescent="0.35">
      <c r="B23" s="87" t="s">
        <v>258</v>
      </c>
      <c r="C23" s="87"/>
      <c r="D23" s="40" t="s">
        <v>27</v>
      </c>
      <c r="E23" s="106"/>
      <c r="F23" s="106"/>
      <c r="G23" s="40">
        <f t="shared" si="1"/>
        <v>1</v>
      </c>
    </row>
    <row r="24" spans="2:8" ht="50.1" customHeight="1" x14ac:dyDescent="0.35">
      <c r="B24" s="87" t="s">
        <v>259</v>
      </c>
      <c r="C24" s="87"/>
      <c r="D24" s="40" t="s">
        <v>27</v>
      </c>
      <c r="E24" s="106"/>
      <c r="F24" s="106"/>
      <c r="G24" s="40">
        <f t="shared" si="1"/>
        <v>1</v>
      </c>
    </row>
    <row r="25" spans="2:8" ht="50.1" customHeight="1" x14ac:dyDescent="0.35">
      <c r="B25" s="87" t="s">
        <v>260</v>
      </c>
      <c r="C25" s="87"/>
      <c r="D25" s="40" t="s">
        <v>27</v>
      </c>
      <c r="E25" s="106"/>
      <c r="F25" s="106"/>
      <c r="G25" s="40">
        <f t="shared" si="1"/>
        <v>1</v>
      </c>
    </row>
    <row r="26" spans="2:8" ht="50.1" customHeight="1" x14ac:dyDescent="0.35">
      <c r="B26" s="87" t="s">
        <v>261</v>
      </c>
      <c r="C26" s="87"/>
      <c r="D26" s="40" t="s">
        <v>27</v>
      </c>
      <c r="E26" s="106"/>
      <c r="F26" s="106"/>
      <c r="G26" s="40">
        <f t="shared" si="1"/>
        <v>1</v>
      </c>
    </row>
    <row r="27" spans="2:8" ht="50.1" customHeight="1" x14ac:dyDescent="0.35">
      <c r="B27" s="87" t="s">
        <v>262</v>
      </c>
      <c r="C27" s="87"/>
      <c r="D27" s="40" t="s">
        <v>27</v>
      </c>
      <c r="E27" s="106"/>
      <c r="F27" s="106"/>
      <c r="G27" s="40">
        <f t="shared" si="1"/>
        <v>1</v>
      </c>
    </row>
    <row r="28" spans="2:8" ht="30" customHeight="1" x14ac:dyDescent="0.35">
      <c r="F28" s="98" t="s">
        <v>15</v>
      </c>
      <c r="G28" s="55">
        <f>SUMIF(G12:G27,"&lt;2")</f>
        <v>16</v>
      </c>
    </row>
    <row r="29" spans="2:8" x14ac:dyDescent="0.35">
      <c r="F29" s="86"/>
      <c r="G29" s="41">
        <f>IFERROR((G28*1)/(COUNTIF(G12:G27,"&lt;2")),"NA")</f>
        <v>1</v>
      </c>
    </row>
  </sheetData>
  <mergeCells count="39">
    <mergeCell ref="F28:F29"/>
    <mergeCell ref="E24:F24"/>
    <mergeCell ref="E25:F25"/>
    <mergeCell ref="E26:F26"/>
    <mergeCell ref="E27:F27"/>
    <mergeCell ref="B22:C22"/>
    <mergeCell ref="E22:F22"/>
    <mergeCell ref="B27:C27"/>
    <mergeCell ref="B26:C26"/>
    <mergeCell ref="B23:C23"/>
    <mergeCell ref="E23:F23"/>
    <mergeCell ref="B24:C24"/>
    <mergeCell ref="B25:C25"/>
    <mergeCell ref="B19:C19"/>
    <mergeCell ref="E19:F19"/>
    <mergeCell ref="B20:C20"/>
    <mergeCell ref="E20:F20"/>
    <mergeCell ref="B21:C21"/>
    <mergeCell ref="E21:F21"/>
    <mergeCell ref="B16:C16"/>
    <mergeCell ref="B14:C14"/>
    <mergeCell ref="B17:C17"/>
    <mergeCell ref="E17:F17"/>
    <mergeCell ref="B18:C18"/>
    <mergeCell ref="E18:F18"/>
    <mergeCell ref="E14:F14"/>
    <mergeCell ref="E15:F15"/>
    <mergeCell ref="E16:F16"/>
    <mergeCell ref="B12:C12"/>
    <mergeCell ref="E12:F12"/>
    <mergeCell ref="B15:C15"/>
    <mergeCell ref="B13:C13"/>
    <mergeCell ref="E13:F13"/>
    <mergeCell ref="F9:G9"/>
    <mergeCell ref="F6:G6"/>
    <mergeCell ref="F7:G7"/>
    <mergeCell ref="F8:G8"/>
    <mergeCell ref="B11:C11"/>
    <mergeCell ref="E11:F11"/>
  </mergeCells>
  <dataValidations count="1">
    <dataValidation type="list" allowBlank="1" showInputMessage="1" showErrorMessage="1" sqref="D12:D27" xr:uid="{00000000-0002-0000-1300-000000000000}">
      <formula1>$H$8:$H$10</formula1>
    </dataValidation>
  </dataValidations>
  <pageMargins left="0.7" right="0.7" top="0.75" bottom="0.75" header="0.3" footer="0.3"/>
  <pageSetup scale="45"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H25"/>
  <sheetViews>
    <sheetView showGridLines="0" topLeftCell="A4" zoomScale="90" zoomScaleNormal="90" workbookViewId="0">
      <selection activeCell="L7" sqref="L7"/>
    </sheetView>
  </sheetViews>
  <sheetFormatPr baseColWidth="10" defaultColWidth="11.44140625" defaultRowHeight="15.6" x14ac:dyDescent="0.35"/>
  <cols>
    <col min="1" max="1" width="3.109375" style="1" customWidth="1"/>
    <col min="2" max="2" width="33.33203125" style="1" customWidth="1"/>
    <col min="3" max="3" width="50.6640625" style="63" customWidth="1"/>
    <col min="4" max="4" width="26.109375" style="1" customWidth="1"/>
    <col min="5" max="5" width="51.5546875" style="1" customWidth="1"/>
    <col min="6" max="6" width="21.44140625" style="1" customWidth="1"/>
    <col min="7" max="7" width="17.88671875" style="1" customWidth="1"/>
    <col min="8" max="8" width="0" style="42" hidden="1" customWidth="1"/>
    <col min="9" max="16384" width="11.44140625" style="1"/>
  </cols>
  <sheetData>
    <row r="1" spans="2:8" s="36" customFormat="1" ht="35.25" customHeight="1" x14ac:dyDescent="0.4">
      <c r="B1" s="5"/>
      <c r="C1" s="34"/>
      <c r="D1" s="34"/>
      <c r="E1" s="34"/>
      <c r="F1" s="35"/>
      <c r="G1" s="35"/>
      <c r="H1" s="43"/>
    </row>
    <row r="2" spans="2:8" s="36" customFormat="1" ht="35.25" customHeight="1" x14ac:dyDescent="0.4">
      <c r="B2" s="5"/>
      <c r="C2" s="34"/>
      <c r="D2" s="34"/>
      <c r="E2" s="34"/>
      <c r="F2" s="35"/>
      <c r="G2" s="35"/>
      <c r="H2" s="43"/>
    </row>
    <row r="3" spans="2:8" s="36" customFormat="1" ht="39.75" customHeight="1" x14ac:dyDescent="0.4">
      <c r="B3" s="5"/>
      <c r="C3" s="2"/>
      <c r="D3" s="3"/>
      <c r="E3" s="3"/>
      <c r="F3" s="44"/>
      <c r="G3" s="44"/>
      <c r="H3" s="43"/>
    </row>
    <row r="4" spans="2:8" s="6" customFormat="1" ht="41.25" customHeight="1" x14ac:dyDescent="0.4">
      <c r="B4" s="69" t="s">
        <v>1</v>
      </c>
      <c r="C4" s="37" t="str">
        <f>'Nivel 1'!C9</f>
        <v>Oficina Central</v>
      </c>
      <c r="D4" s="71" t="s">
        <v>6</v>
      </c>
      <c r="E4" s="37" t="str">
        <f>'Nivel 1'!E9</f>
        <v>Bimbo</v>
      </c>
      <c r="F4" s="89" t="s">
        <v>18</v>
      </c>
      <c r="G4" s="89"/>
      <c r="H4" s="45"/>
    </row>
    <row r="5" spans="2:8" s="6" customFormat="1" ht="38.25" customHeight="1" x14ac:dyDescent="0.4">
      <c r="B5" s="69" t="s">
        <v>2</v>
      </c>
      <c r="C5" s="37" t="str">
        <f>'Nivel 1'!C10</f>
        <v>Franklin Bratta</v>
      </c>
      <c r="D5" s="72" t="s">
        <v>5</v>
      </c>
      <c r="E5" s="37">
        <f>'Nivel 1'!E10</f>
        <v>45763</v>
      </c>
      <c r="F5" s="90"/>
      <c r="G5" s="90"/>
      <c r="H5" s="45"/>
    </row>
    <row r="6" spans="2:8" s="6" customFormat="1" ht="46.5" customHeight="1" x14ac:dyDescent="0.4">
      <c r="B6" s="70" t="s">
        <v>20</v>
      </c>
      <c r="C6" s="37" t="str">
        <f>'Nivel 1'!C11</f>
        <v>Loreto lopez</v>
      </c>
      <c r="D6" s="69" t="s">
        <v>4</v>
      </c>
      <c r="E6" s="37">
        <f>'Nivel 1'!E11</f>
        <v>0.5</v>
      </c>
      <c r="F6" s="89" t="s">
        <v>17</v>
      </c>
      <c r="G6" s="89"/>
      <c r="H6" s="45" t="s">
        <v>27</v>
      </c>
    </row>
    <row r="7" spans="2:8" s="6" customFormat="1" ht="33.75" customHeight="1" x14ac:dyDescent="0.4">
      <c r="B7" s="69" t="s">
        <v>3</v>
      </c>
      <c r="C7" s="37">
        <f>'Nivel 1'!C12</f>
        <v>45763</v>
      </c>
      <c r="D7" s="69" t="s">
        <v>7</v>
      </c>
      <c r="E7" s="37">
        <f>'Nivel 1'!E12</f>
        <v>0.75</v>
      </c>
      <c r="F7" s="91">
        <f>G25</f>
        <v>1</v>
      </c>
      <c r="G7" s="92"/>
      <c r="H7" s="45" t="s">
        <v>28</v>
      </c>
    </row>
    <row r="8" spans="2:8" x14ac:dyDescent="0.35">
      <c r="H8" s="42" t="s">
        <v>29</v>
      </c>
    </row>
    <row r="9" spans="2:8" s="9" customFormat="1" ht="31.2" x14ac:dyDescent="0.35">
      <c r="B9" s="86" t="s">
        <v>25</v>
      </c>
      <c r="C9" s="86"/>
      <c r="D9" s="74" t="s">
        <v>0</v>
      </c>
      <c r="E9" s="93" t="s">
        <v>114</v>
      </c>
      <c r="F9" s="93"/>
      <c r="G9" s="74" t="s">
        <v>16</v>
      </c>
      <c r="H9" s="46"/>
    </row>
    <row r="10" spans="2:8" s="38" customFormat="1" ht="50.1" customHeight="1" x14ac:dyDescent="0.35">
      <c r="B10" s="119" t="s">
        <v>135</v>
      </c>
      <c r="C10" s="119"/>
      <c r="D10" s="40" t="s">
        <v>27</v>
      </c>
      <c r="E10" s="88"/>
      <c r="F10" s="88"/>
      <c r="G10" s="40">
        <f>IF(D10="Cumple",1,IF(D10="No Cumple",0,"NA"))</f>
        <v>1</v>
      </c>
      <c r="H10" s="47"/>
    </row>
    <row r="11" spans="2:8" s="38" customFormat="1" ht="50.1" customHeight="1" x14ac:dyDescent="0.35">
      <c r="B11" s="119" t="s">
        <v>136</v>
      </c>
      <c r="C11" s="119"/>
      <c r="D11" s="40" t="s">
        <v>27</v>
      </c>
      <c r="E11" s="88"/>
      <c r="F11" s="88"/>
      <c r="G11" s="40">
        <f t="shared" ref="G11:G15" si="0">IF(D11="Cumple",1,IF(D11="No Cumple",0,"NA"))</f>
        <v>1</v>
      </c>
      <c r="H11" s="47"/>
    </row>
    <row r="12" spans="2:8" s="38" customFormat="1" ht="50.1" customHeight="1" x14ac:dyDescent="0.35">
      <c r="B12" s="120" t="s">
        <v>137</v>
      </c>
      <c r="C12" s="120"/>
      <c r="D12" s="40" t="s">
        <v>27</v>
      </c>
      <c r="E12" s="88"/>
      <c r="F12" s="88"/>
      <c r="G12" s="40">
        <f t="shared" si="0"/>
        <v>1</v>
      </c>
      <c r="H12" s="47"/>
    </row>
    <row r="13" spans="2:8" s="38" customFormat="1" ht="50.1" customHeight="1" x14ac:dyDescent="0.35">
      <c r="B13" s="87" t="s">
        <v>138</v>
      </c>
      <c r="C13" s="87"/>
      <c r="D13" s="40" t="s">
        <v>27</v>
      </c>
      <c r="E13" s="88"/>
      <c r="F13" s="88"/>
      <c r="G13" s="40">
        <f t="shared" si="0"/>
        <v>1</v>
      </c>
      <c r="H13" s="47"/>
    </row>
    <row r="14" spans="2:8" s="38" customFormat="1" ht="50.1" customHeight="1" x14ac:dyDescent="0.35">
      <c r="B14" s="87" t="s">
        <v>139</v>
      </c>
      <c r="C14" s="87"/>
      <c r="D14" s="40" t="s">
        <v>27</v>
      </c>
      <c r="E14" s="88"/>
      <c r="F14" s="88"/>
      <c r="G14" s="40">
        <f t="shared" si="0"/>
        <v>1</v>
      </c>
      <c r="H14" s="47"/>
    </row>
    <row r="15" spans="2:8" s="38" customFormat="1" ht="50.1" customHeight="1" x14ac:dyDescent="0.35">
      <c r="B15" s="87" t="s">
        <v>140</v>
      </c>
      <c r="C15" s="87"/>
      <c r="D15" s="40" t="s">
        <v>27</v>
      </c>
      <c r="E15" s="88"/>
      <c r="F15" s="88"/>
      <c r="G15" s="40">
        <f t="shared" si="0"/>
        <v>1</v>
      </c>
      <c r="H15" s="47"/>
    </row>
    <row r="16" spans="2:8" s="38" customFormat="1" ht="50.1" customHeight="1" x14ac:dyDescent="0.3">
      <c r="B16" s="87" t="s">
        <v>141</v>
      </c>
      <c r="C16" s="87" t="s">
        <v>57</v>
      </c>
      <c r="D16" s="40" t="s">
        <v>27</v>
      </c>
      <c r="E16" s="106"/>
      <c r="F16" s="106"/>
      <c r="G16" s="40">
        <f t="shared" ref="G16:G23" si="1">IF(D16="Cumple",1,IF(D16="No Cumple",0,"NA"))</f>
        <v>1</v>
      </c>
      <c r="H16" s="47"/>
    </row>
    <row r="17" spans="2:8" s="38" customFormat="1" ht="50.1" customHeight="1" x14ac:dyDescent="0.3">
      <c r="B17" s="87" t="s">
        <v>142</v>
      </c>
      <c r="C17" s="87" t="s">
        <v>56</v>
      </c>
      <c r="D17" s="40" t="s">
        <v>27</v>
      </c>
      <c r="E17" s="106"/>
      <c r="F17" s="106"/>
      <c r="G17" s="40">
        <f t="shared" si="1"/>
        <v>1</v>
      </c>
      <c r="H17" s="47"/>
    </row>
    <row r="18" spans="2:8" ht="50.1" customHeight="1" x14ac:dyDescent="0.35">
      <c r="B18" s="85" t="s">
        <v>143</v>
      </c>
      <c r="C18" s="85" t="s">
        <v>144</v>
      </c>
      <c r="D18" s="40" t="s">
        <v>27</v>
      </c>
      <c r="E18" s="106"/>
      <c r="F18" s="106"/>
      <c r="G18" s="40">
        <f t="shared" si="1"/>
        <v>1</v>
      </c>
    </row>
    <row r="19" spans="2:8" ht="50.1" customHeight="1" x14ac:dyDescent="0.35">
      <c r="B19" s="85" t="s">
        <v>145</v>
      </c>
      <c r="C19" s="85" t="s">
        <v>146</v>
      </c>
      <c r="D19" s="40" t="s">
        <v>27</v>
      </c>
      <c r="E19" s="106"/>
      <c r="F19" s="106"/>
      <c r="G19" s="40">
        <f t="shared" si="1"/>
        <v>1</v>
      </c>
    </row>
    <row r="20" spans="2:8" ht="50.1" customHeight="1" x14ac:dyDescent="0.35">
      <c r="B20" s="85" t="s">
        <v>147</v>
      </c>
      <c r="C20" s="85" t="s">
        <v>148</v>
      </c>
      <c r="D20" s="40" t="s">
        <v>27</v>
      </c>
      <c r="E20" s="106"/>
      <c r="F20" s="106"/>
      <c r="G20" s="40">
        <f t="shared" si="1"/>
        <v>1</v>
      </c>
    </row>
    <row r="21" spans="2:8" ht="50.1" customHeight="1" x14ac:dyDescent="0.35">
      <c r="B21" s="85" t="s">
        <v>149</v>
      </c>
      <c r="C21" s="85" t="s">
        <v>150</v>
      </c>
      <c r="D21" s="40" t="s">
        <v>27</v>
      </c>
      <c r="E21" s="106"/>
      <c r="F21" s="106"/>
      <c r="G21" s="40">
        <f t="shared" si="1"/>
        <v>1</v>
      </c>
    </row>
    <row r="22" spans="2:8" ht="50.1" customHeight="1" x14ac:dyDescent="0.35">
      <c r="B22" s="85" t="s">
        <v>151</v>
      </c>
      <c r="C22" s="85" t="s">
        <v>152</v>
      </c>
      <c r="D22" s="40" t="s">
        <v>27</v>
      </c>
      <c r="E22" s="106"/>
      <c r="F22" s="106"/>
      <c r="G22" s="40">
        <f t="shared" si="1"/>
        <v>1</v>
      </c>
    </row>
    <row r="23" spans="2:8" ht="50.1" customHeight="1" x14ac:dyDescent="0.35">
      <c r="B23" s="85" t="s">
        <v>153</v>
      </c>
      <c r="C23" s="85" t="s">
        <v>154</v>
      </c>
      <c r="D23" s="40" t="s">
        <v>27</v>
      </c>
      <c r="E23" s="106"/>
      <c r="F23" s="106"/>
      <c r="G23" s="40">
        <f t="shared" si="1"/>
        <v>1</v>
      </c>
    </row>
    <row r="24" spans="2:8" ht="30" customHeight="1" x14ac:dyDescent="0.35">
      <c r="D24" s="51"/>
      <c r="F24" s="86" t="s">
        <v>15</v>
      </c>
      <c r="G24" s="40">
        <f>SUMIF(G10:G23,"&lt;2")</f>
        <v>14</v>
      </c>
    </row>
    <row r="25" spans="2:8" x14ac:dyDescent="0.35">
      <c r="F25" s="86"/>
      <c r="G25" s="41">
        <f>IFERROR((G24*1)/(COUNTIF(G10:G23,"&lt;2")),"NA")</f>
        <v>1</v>
      </c>
    </row>
  </sheetData>
  <mergeCells count="35">
    <mergeCell ref="F24:F25"/>
    <mergeCell ref="B22:C22"/>
    <mergeCell ref="E22:F22"/>
    <mergeCell ref="B23:C23"/>
    <mergeCell ref="E23:F23"/>
    <mergeCell ref="B21:C21"/>
    <mergeCell ref="E21:F21"/>
    <mergeCell ref="B19:C19"/>
    <mergeCell ref="E19:F19"/>
    <mergeCell ref="B20:C20"/>
    <mergeCell ref="B16:C16"/>
    <mergeCell ref="E16:F16"/>
    <mergeCell ref="B17:C17"/>
    <mergeCell ref="E17:F17"/>
    <mergeCell ref="E20:F20"/>
    <mergeCell ref="B18:C18"/>
    <mergeCell ref="E18:F18"/>
    <mergeCell ref="E15:F15"/>
    <mergeCell ref="B15:C15"/>
    <mergeCell ref="B11:C11"/>
    <mergeCell ref="B12:C12"/>
    <mergeCell ref="B13:C13"/>
    <mergeCell ref="B10:C10"/>
    <mergeCell ref="E10:F10"/>
    <mergeCell ref="B14:C14"/>
    <mergeCell ref="E11:F11"/>
    <mergeCell ref="E12:F12"/>
    <mergeCell ref="E13:F13"/>
    <mergeCell ref="E14:F14"/>
    <mergeCell ref="F7:G7"/>
    <mergeCell ref="F4:G4"/>
    <mergeCell ref="F5:G5"/>
    <mergeCell ref="F6:G6"/>
    <mergeCell ref="B9:C9"/>
    <mergeCell ref="E9:F9"/>
  </mergeCells>
  <dataValidations count="1">
    <dataValidation type="list" allowBlank="1" showInputMessage="1" showErrorMessage="1" sqref="D10:D23" xr:uid="{00000000-0002-0000-1400-000000000000}">
      <formula1>$H$6:$H$8</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3:H22"/>
  <sheetViews>
    <sheetView showGridLines="0" topLeftCell="A7" zoomScale="80" zoomScaleNormal="80" workbookViewId="0">
      <selection activeCell="M11" sqref="M11"/>
    </sheetView>
  </sheetViews>
  <sheetFormatPr baseColWidth="10" defaultColWidth="11.44140625" defaultRowHeight="15.6" x14ac:dyDescent="0.35"/>
  <cols>
    <col min="1" max="1" width="3.109375" style="1" customWidth="1"/>
    <col min="2" max="2" width="27.88671875" style="1" customWidth="1"/>
    <col min="3" max="3" width="50.6640625" style="1" customWidth="1"/>
    <col min="4" max="4" width="26.109375" style="1" customWidth="1"/>
    <col min="5" max="5" width="51.5546875" style="1" customWidth="1"/>
    <col min="6" max="6" width="21.44140625" style="1" customWidth="1"/>
    <col min="7" max="7" width="17.88671875" style="1" customWidth="1"/>
    <col min="8" max="8" width="0" style="42" hidden="1" customWidth="1"/>
    <col min="9" max="16384" width="11.44140625" style="1"/>
  </cols>
  <sheetData>
    <row r="3" spans="2:8" s="5" customFormat="1" ht="35.25" customHeight="1" x14ac:dyDescent="0.4">
      <c r="C3" s="34"/>
      <c r="D3" s="34"/>
      <c r="E3" s="34"/>
      <c r="F3" s="35"/>
      <c r="G3" s="35"/>
      <c r="H3" s="56"/>
    </row>
    <row r="4" spans="2:8" s="5" customFormat="1" ht="35.25" customHeight="1" x14ac:dyDescent="0.4">
      <c r="C4" s="2"/>
      <c r="D4" s="3"/>
      <c r="E4" s="3"/>
      <c r="F4" s="44"/>
      <c r="G4" s="44"/>
      <c r="H4" s="56"/>
    </row>
    <row r="5" spans="2:8" s="57" customFormat="1" ht="30" customHeight="1" x14ac:dyDescent="0.4">
      <c r="C5" s="4"/>
      <c r="D5" s="4"/>
      <c r="E5" s="4"/>
      <c r="H5" s="58"/>
    </row>
    <row r="6" spans="2:8" s="6" customFormat="1" ht="39" customHeight="1" x14ac:dyDescent="0.4">
      <c r="B6" s="69" t="s">
        <v>1</v>
      </c>
      <c r="C6" s="37" t="str">
        <f>'Nivel 1'!C9</f>
        <v>Oficina Central</v>
      </c>
      <c r="D6" s="71" t="s">
        <v>6</v>
      </c>
      <c r="E6" s="37" t="str">
        <f>'Nivel 1'!E9</f>
        <v>Bimbo</v>
      </c>
      <c r="F6" s="89" t="s">
        <v>18</v>
      </c>
      <c r="G6" s="89"/>
      <c r="H6" s="45"/>
    </row>
    <row r="7" spans="2:8" s="6" customFormat="1" ht="34.799999999999997" x14ac:dyDescent="0.4">
      <c r="B7" s="69" t="s">
        <v>2</v>
      </c>
      <c r="C7" s="37" t="str">
        <f>'Nivel 1'!C10</f>
        <v>Franklin Bratta</v>
      </c>
      <c r="D7" s="72" t="s">
        <v>5</v>
      </c>
      <c r="E7" s="37">
        <f>'Nivel 1'!E10</f>
        <v>45763</v>
      </c>
      <c r="F7" s="90"/>
      <c r="G7" s="90"/>
      <c r="H7" s="45"/>
    </row>
    <row r="8" spans="2:8" s="6" customFormat="1" ht="40.5" customHeight="1" x14ac:dyDescent="0.4">
      <c r="B8" s="70" t="s">
        <v>20</v>
      </c>
      <c r="C8" s="37" t="str">
        <f>'Nivel 1'!C11</f>
        <v>Loreto lopez</v>
      </c>
      <c r="D8" s="69" t="s">
        <v>4</v>
      </c>
      <c r="E8" s="37">
        <f>'Nivel 1'!E11</f>
        <v>0.5</v>
      </c>
      <c r="F8" s="89" t="s">
        <v>17</v>
      </c>
      <c r="G8" s="89"/>
      <c r="H8" s="45" t="s">
        <v>27</v>
      </c>
    </row>
    <row r="9" spans="2:8" s="6" customFormat="1" ht="30" customHeight="1" x14ac:dyDescent="0.4">
      <c r="B9" s="69" t="s">
        <v>3</v>
      </c>
      <c r="C9" s="37">
        <f>'Nivel 1'!C12</f>
        <v>45763</v>
      </c>
      <c r="D9" s="69" t="s">
        <v>7</v>
      </c>
      <c r="E9" s="37">
        <f>'Nivel 1'!E12</f>
        <v>0.75</v>
      </c>
      <c r="F9" s="91">
        <f>G22</f>
        <v>1</v>
      </c>
      <c r="G9" s="92"/>
      <c r="H9" s="45" t="s">
        <v>28</v>
      </c>
    </row>
    <row r="10" spans="2:8" x14ac:dyDescent="0.35">
      <c r="H10" s="42" t="s">
        <v>29</v>
      </c>
    </row>
    <row r="11" spans="2:8" s="9" customFormat="1" ht="31.2" x14ac:dyDescent="0.35">
      <c r="B11" s="86" t="s">
        <v>22</v>
      </c>
      <c r="C11" s="86"/>
      <c r="D11" s="74" t="s">
        <v>0</v>
      </c>
      <c r="E11" s="93" t="s">
        <v>114</v>
      </c>
      <c r="F11" s="93"/>
      <c r="G11" s="74" t="s">
        <v>16</v>
      </c>
      <c r="H11" s="46"/>
    </row>
    <row r="12" spans="2:8" s="38" customFormat="1" ht="50.1" customHeight="1" x14ac:dyDescent="0.35">
      <c r="B12" s="120" t="s">
        <v>155</v>
      </c>
      <c r="C12" s="120"/>
      <c r="D12" s="40" t="s">
        <v>27</v>
      </c>
      <c r="E12" s="88"/>
      <c r="F12" s="88"/>
      <c r="G12" s="40">
        <f>IF(D12="Cumple",1,IF(D12="No Cumple",0,"NA"))</f>
        <v>1</v>
      </c>
      <c r="H12" s="47"/>
    </row>
    <row r="13" spans="2:8" s="38" customFormat="1" ht="50.1" customHeight="1" x14ac:dyDescent="0.35">
      <c r="B13" s="120" t="s">
        <v>156</v>
      </c>
      <c r="C13" s="120"/>
      <c r="D13" s="40" t="s">
        <v>27</v>
      </c>
      <c r="E13" s="88"/>
      <c r="F13" s="88"/>
      <c r="G13" s="40">
        <f t="shared" ref="G13:G17" si="0">IF(D13="Cumple",1,IF(D13="No Cumple",0,"NA"))</f>
        <v>1</v>
      </c>
      <c r="H13" s="47"/>
    </row>
    <row r="14" spans="2:8" s="38" customFormat="1" ht="50.1" customHeight="1" x14ac:dyDescent="0.35">
      <c r="B14" s="120" t="s">
        <v>157</v>
      </c>
      <c r="C14" s="120"/>
      <c r="D14" s="40" t="s">
        <v>27</v>
      </c>
      <c r="E14" s="88"/>
      <c r="F14" s="88"/>
      <c r="G14" s="40">
        <f t="shared" si="0"/>
        <v>1</v>
      </c>
      <c r="H14" s="47"/>
    </row>
    <row r="15" spans="2:8" s="38" customFormat="1" ht="50.1" customHeight="1" x14ac:dyDescent="0.35">
      <c r="B15" s="87" t="s">
        <v>158</v>
      </c>
      <c r="C15" s="87"/>
      <c r="D15" s="40" t="s">
        <v>27</v>
      </c>
      <c r="E15" s="88"/>
      <c r="F15" s="88"/>
      <c r="G15" s="40">
        <f t="shared" si="0"/>
        <v>1</v>
      </c>
      <c r="H15" s="47"/>
    </row>
    <row r="16" spans="2:8" s="38" customFormat="1" ht="50.1" customHeight="1" x14ac:dyDescent="0.35">
      <c r="B16" s="87" t="s">
        <v>159</v>
      </c>
      <c r="C16" s="87"/>
      <c r="D16" s="40" t="s">
        <v>27</v>
      </c>
      <c r="E16" s="88"/>
      <c r="F16" s="88"/>
      <c r="G16" s="40">
        <f t="shared" si="0"/>
        <v>1</v>
      </c>
      <c r="H16" s="47"/>
    </row>
    <row r="17" spans="2:8" s="38" customFormat="1" ht="50.1" customHeight="1" x14ac:dyDescent="0.35">
      <c r="B17" s="87" t="s">
        <v>160</v>
      </c>
      <c r="C17" s="87"/>
      <c r="D17" s="40" t="s">
        <v>27</v>
      </c>
      <c r="E17" s="88"/>
      <c r="F17" s="88"/>
      <c r="G17" s="40">
        <f t="shared" si="0"/>
        <v>1</v>
      </c>
      <c r="H17" s="47"/>
    </row>
    <row r="18" spans="2:8" ht="50.1" customHeight="1" x14ac:dyDescent="0.35">
      <c r="B18" s="87" t="s">
        <v>161</v>
      </c>
      <c r="C18" s="87" t="s">
        <v>58</v>
      </c>
      <c r="D18" s="40" t="s">
        <v>27</v>
      </c>
      <c r="E18" s="106"/>
      <c r="F18" s="106"/>
      <c r="G18" s="40">
        <f t="shared" ref="G18:G20" si="1">IF(D18="Cumple",1,IF(D18="No Cumple",0,"NA"))</f>
        <v>1</v>
      </c>
    </row>
    <row r="19" spans="2:8" ht="50.1" customHeight="1" x14ac:dyDescent="0.35">
      <c r="B19" s="85" t="s">
        <v>162</v>
      </c>
      <c r="C19" s="85" t="s">
        <v>163</v>
      </c>
      <c r="D19" s="40" t="s">
        <v>27</v>
      </c>
      <c r="E19" s="106"/>
      <c r="F19" s="106"/>
      <c r="G19" s="40">
        <f t="shared" si="1"/>
        <v>1</v>
      </c>
    </row>
    <row r="20" spans="2:8" ht="50.1" customHeight="1" x14ac:dyDescent="0.35">
      <c r="B20" s="85" t="s">
        <v>164</v>
      </c>
      <c r="C20" s="85" t="s">
        <v>165</v>
      </c>
      <c r="D20" s="40" t="s">
        <v>27</v>
      </c>
      <c r="E20" s="106"/>
      <c r="F20" s="106"/>
      <c r="G20" s="40">
        <f t="shared" si="1"/>
        <v>1</v>
      </c>
    </row>
    <row r="21" spans="2:8" ht="30" customHeight="1" x14ac:dyDescent="0.35">
      <c r="F21" s="98" t="s">
        <v>15</v>
      </c>
      <c r="G21" s="55">
        <f>SUMIF(G12:G20,"&lt;2")</f>
        <v>9</v>
      </c>
    </row>
    <row r="22" spans="2:8" x14ac:dyDescent="0.35">
      <c r="F22" s="86"/>
      <c r="G22" s="41">
        <f>IFERROR((G21*1)/(COUNTIF(G12:G20,"&lt;2")),"NA")</f>
        <v>1</v>
      </c>
    </row>
  </sheetData>
  <mergeCells count="25">
    <mergeCell ref="E13:F13"/>
    <mergeCell ref="E14:F14"/>
    <mergeCell ref="E15:F15"/>
    <mergeCell ref="E16:F16"/>
    <mergeCell ref="E17:F17"/>
    <mergeCell ref="B20:C20"/>
    <mergeCell ref="F21:F22"/>
    <mergeCell ref="E18:F18"/>
    <mergeCell ref="E19:F19"/>
    <mergeCell ref="E20:F20"/>
    <mergeCell ref="B19:C19"/>
    <mergeCell ref="B18:C18"/>
    <mergeCell ref="B17:C17"/>
    <mergeCell ref="B13:C13"/>
    <mergeCell ref="B14:C14"/>
    <mergeCell ref="B11:C11"/>
    <mergeCell ref="B12:C12"/>
    <mergeCell ref="B15:C15"/>
    <mergeCell ref="B16:C16"/>
    <mergeCell ref="F9:G9"/>
    <mergeCell ref="E11:F11"/>
    <mergeCell ref="E12:F12"/>
    <mergeCell ref="F6:G6"/>
    <mergeCell ref="F7:G7"/>
    <mergeCell ref="F8:G8"/>
  </mergeCells>
  <dataValidations count="1">
    <dataValidation type="list" allowBlank="1" showInputMessage="1" showErrorMessage="1" sqref="D12:D20" xr:uid="{00000000-0002-0000-1500-000000000000}">
      <formula1>$H$8:$H$10</formula1>
    </dataValidation>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H23"/>
  <sheetViews>
    <sheetView showGridLines="0" topLeftCell="A4" zoomScale="66" zoomScaleNormal="66" workbookViewId="0">
      <selection activeCell="P12" sqref="P12"/>
    </sheetView>
  </sheetViews>
  <sheetFormatPr baseColWidth="10" defaultColWidth="11.44140625" defaultRowHeight="15.6" x14ac:dyDescent="0.35"/>
  <cols>
    <col min="1" max="1" width="2.33203125" style="1" customWidth="1"/>
    <col min="2" max="2" width="36.109375" style="1" customWidth="1"/>
    <col min="3" max="3" width="50.6640625" style="1" customWidth="1"/>
    <col min="4" max="4" width="26.109375" style="1" customWidth="1"/>
    <col min="5" max="5" width="51.5546875" style="1" customWidth="1"/>
    <col min="6" max="6" width="21.44140625" style="1" customWidth="1"/>
    <col min="7" max="7" width="17.88671875" style="1" customWidth="1"/>
    <col min="8" max="8" width="0" style="42" hidden="1" customWidth="1"/>
    <col min="9" max="16384" width="11.44140625" style="1"/>
  </cols>
  <sheetData>
    <row r="2" spans="2:8" s="5" customFormat="1" ht="35.25" customHeight="1" x14ac:dyDescent="0.4">
      <c r="C2" s="34"/>
      <c r="D2" s="34"/>
      <c r="E2" s="34"/>
      <c r="F2" s="35"/>
      <c r="G2" s="35"/>
      <c r="H2" s="56"/>
    </row>
    <row r="3" spans="2:8" s="5" customFormat="1" ht="35.25" customHeight="1" x14ac:dyDescent="0.4">
      <c r="C3" s="2"/>
      <c r="D3" s="3"/>
      <c r="E3" s="3"/>
      <c r="F3" s="44"/>
      <c r="G3" s="44"/>
      <c r="H3" s="56"/>
    </row>
    <row r="4" spans="2:8" s="5" customFormat="1" ht="40.5" customHeight="1" x14ac:dyDescent="0.4">
      <c r="C4" s="2"/>
      <c r="D4" s="3"/>
      <c r="E4" s="3"/>
      <c r="F4" s="44"/>
      <c r="G4" s="44"/>
      <c r="H4" s="56"/>
    </row>
    <row r="5" spans="2:8" s="6" customFormat="1" ht="42" customHeight="1" x14ac:dyDescent="0.4">
      <c r="B5" s="69" t="s">
        <v>1</v>
      </c>
      <c r="C5" s="37" t="str">
        <f>'Nivel 1'!C9</f>
        <v>Oficina Central</v>
      </c>
      <c r="D5" s="71" t="s">
        <v>6</v>
      </c>
      <c r="E5" s="37" t="str">
        <f>'Nivel 1'!E9</f>
        <v>Bimbo</v>
      </c>
      <c r="F5" s="89" t="s">
        <v>18</v>
      </c>
      <c r="G5" s="89"/>
      <c r="H5" s="45"/>
    </row>
    <row r="6" spans="2:8" s="6" customFormat="1" ht="42" customHeight="1" x14ac:dyDescent="0.4">
      <c r="B6" s="69" t="s">
        <v>2</v>
      </c>
      <c r="C6" s="37" t="str">
        <f>'Nivel 1'!C10</f>
        <v>Franklin Bratta</v>
      </c>
      <c r="D6" s="72" t="s">
        <v>5</v>
      </c>
      <c r="E6" s="37">
        <f>'Nivel 1'!E10</f>
        <v>45763</v>
      </c>
      <c r="F6" s="90"/>
      <c r="G6" s="90"/>
      <c r="H6" s="45"/>
    </row>
    <row r="7" spans="2:8" s="6" customFormat="1" ht="34.799999999999997" x14ac:dyDescent="0.4">
      <c r="B7" s="70" t="s">
        <v>20</v>
      </c>
      <c r="C7" s="37" t="str">
        <f>'Nivel 1'!C11</f>
        <v>Loreto lopez</v>
      </c>
      <c r="D7" s="69" t="s">
        <v>4</v>
      </c>
      <c r="E7" s="37">
        <f>'Nivel 1'!E11</f>
        <v>0.5</v>
      </c>
      <c r="F7" s="89" t="s">
        <v>17</v>
      </c>
      <c r="G7" s="89"/>
      <c r="H7" s="45" t="s">
        <v>27</v>
      </c>
    </row>
    <row r="8" spans="2:8" s="6" customFormat="1" ht="27" customHeight="1" x14ac:dyDescent="0.4">
      <c r="B8" s="69" t="s">
        <v>3</v>
      </c>
      <c r="C8" s="37">
        <f>'Nivel 1'!C12</f>
        <v>45763</v>
      </c>
      <c r="D8" s="69" t="s">
        <v>7</v>
      </c>
      <c r="E8" s="37">
        <f>'Nivel 1'!E12</f>
        <v>0.75</v>
      </c>
      <c r="F8" s="91">
        <f>G23</f>
        <v>1</v>
      </c>
      <c r="G8" s="92"/>
      <c r="H8" s="45" t="s">
        <v>28</v>
      </c>
    </row>
    <row r="9" spans="2:8" x14ac:dyDescent="0.35">
      <c r="H9" s="42" t="s">
        <v>29</v>
      </c>
    </row>
    <row r="10" spans="2:8" s="9" customFormat="1" ht="31.2" x14ac:dyDescent="0.35">
      <c r="B10" s="86" t="s">
        <v>26</v>
      </c>
      <c r="C10" s="86"/>
      <c r="D10" s="74" t="s">
        <v>0</v>
      </c>
      <c r="E10" s="93" t="s">
        <v>114</v>
      </c>
      <c r="F10" s="93"/>
      <c r="G10" s="74" t="s">
        <v>16</v>
      </c>
      <c r="H10" s="46"/>
    </row>
    <row r="11" spans="2:8" s="38" customFormat="1" ht="50.1" customHeight="1" x14ac:dyDescent="0.35">
      <c r="B11" s="120" t="s">
        <v>166</v>
      </c>
      <c r="C11" s="120"/>
      <c r="D11" s="40" t="s">
        <v>27</v>
      </c>
      <c r="E11" s="88"/>
      <c r="F11" s="88"/>
      <c r="G11" s="40">
        <f>IF(D11="Cumple",1,IF(D11="No Cumple",0,"NA"))</f>
        <v>1</v>
      </c>
      <c r="H11" s="47"/>
    </row>
    <row r="12" spans="2:8" s="38" customFormat="1" ht="50.1" customHeight="1" x14ac:dyDescent="0.35">
      <c r="B12" s="120" t="s">
        <v>167</v>
      </c>
      <c r="C12" s="120"/>
      <c r="D12" s="40" t="s">
        <v>27</v>
      </c>
      <c r="E12" s="88"/>
      <c r="F12" s="88"/>
      <c r="G12" s="40">
        <f t="shared" ref="G12:G14" si="0">IF(D12="Cumple",1,IF(D12="No Cumple",0,"NA"))</f>
        <v>1</v>
      </c>
      <c r="H12" s="47"/>
    </row>
    <row r="13" spans="2:8" s="38" customFormat="1" ht="50.1" customHeight="1" x14ac:dyDescent="0.35">
      <c r="B13" s="120" t="s">
        <v>168</v>
      </c>
      <c r="C13" s="120"/>
      <c r="D13" s="40" t="s">
        <v>27</v>
      </c>
      <c r="E13" s="88"/>
      <c r="F13" s="88"/>
      <c r="G13" s="40">
        <f t="shared" si="0"/>
        <v>1</v>
      </c>
      <c r="H13" s="47"/>
    </row>
    <row r="14" spans="2:8" s="38" customFormat="1" ht="50.1" customHeight="1" x14ac:dyDescent="0.35">
      <c r="B14" s="121" t="s">
        <v>169</v>
      </c>
      <c r="C14" s="121"/>
      <c r="D14" s="40" t="s">
        <v>27</v>
      </c>
      <c r="E14" s="88"/>
      <c r="F14" s="88"/>
      <c r="G14" s="40">
        <f t="shared" si="0"/>
        <v>1</v>
      </c>
      <c r="H14" s="47"/>
    </row>
    <row r="15" spans="2:8" ht="50.1" customHeight="1" x14ac:dyDescent="0.35">
      <c r="B15" s="87" t="s">
        <v>170</v>
      </c>
      <c r="C15" s="87"/>
      <c r="D15" s="40" t="s">
        <v>27</v>
      </c>
      <c r="E15" s="106"/>
      <c r="F15" s="106"/>
      <c r="G15" s="40">
        <f t="shared" ref="G15:G21" si="1">IF(D15="Cumple",1,IF(D15="No Cumple",0,"NA"))</f>
        <v>1</v>
      </c>
    </row>
    <row r="16" spans="2:8" ht="50.1" customHeight="1" x14ac:dyDescent="0.35">
      <c r="B16" s="87" t="s">
        <v>171</v>
      </c>
      <c r="C16" s="87"/>
      <c r="D16" s="40" t="s">
        <v>27</v>
      </c>
      <c r="E16" s="106"/>
      <c r="F16" s="106"/>
      <c r="G16" s="40">
        <f t="shared" si="1"/>
        <v>1</v>
      </c>
    </row>
    <row r="17" spans="2:7" ht="50.1" customHeight="1" x14ac:dyDescent="0.35">
      <c r="B17" s="87" t="s">
        <v>172</v>
      </c>
      <c r="C17" s="87"/>
      <c r="D17" s="40" t="s">
        <v>27</v>
      </c>
      <c r="E17" s="106"/>
      <c r="F17" s="106"/>
      <c r="G17" s="40">
        <f t="shared" si="1"/>
        <v>1</v>
      </c>
    </row>
    <row r="18" spans="2:7" ht="50.1" customHeight="1" x14ac:dyDescent="0.35">
      <c r="B18" s="87" t="s">
        <v>173</v>
      </c>
      <c r="C18" s="87"/>
      <c r="D18" s="40" t="s">
        <v>27</v>
      </c>
      <c r="E18" s="106"/>
      <c r="F18" s="106"/>
      <c r="G18" s="40">
        <f t="shared" si="1"/>
        <v>1</v>
      </c>
    </row>
    <row r="19" spans="2:7" ht="50.1" customHeight="1" x14ac:dyDescent="0.35">
      <c r="B19" s="87" t="s">
        <v>174</v>
      </c>
      <c r="C19" s="87"/>
      <c r="D19" s="40" t="s">
        <v>27</v>
      </c>
      <c r="E19" s="106"/>
      <c r="F19" s="106"/>
      <c r="G19" s="40">
        <f t="shared" si="1"/>
        <v>1</v>
      </c>
    </row>
    <row r="20" spans="2:7" ht="50.1" customHeight="1" x14ac:dyDescent="0.35">
      <c r="B20" s="85" t="s">
        <v>175</v>
      </c>
      <c r="C20" s="85" t="s">
        <v>176</v>
      </c>
      <c r="D20" s="40" t="s">
        <v>27</v>
      </c>
      <c r="E20" s="106"/>
      <c r="F20" s="106"/>
      <c r="G20" s="40">
        <f t="shared" si="1"/>
        <v>1</v>
      </c>
    </row>
    <row r="21" spans="2:7" ht="50.1" customHeight="1" x14ac:dyDescent="0.35">
      <c r="B21" s="85" t="s">
        <v>177</v>
      </c>
      <c r="C21" s="85" t="s">
        <v>178</v>
      </c>
      <c r="D21" s="40" t="s">
        <v>27</v>
      </c>
      <c r="E21" s="106"/>
      <c r="F21" s="106"/>
      <c r="G21" s="40">
        <f t="shared" si="1"/>
        <v>1</v>
      </c>
    </row>
    <row r="22" spans="2:7" ht="30" customHeight="1" x14ac:dyDescent="0.35">
      <c r="F22" s="98" t="s">
        <v>15</v>
      </c>
      <c r="G22" s="55">
        <f>SUMIF(G11:G21,"&lt;2")</f>
        <v>11</v>
      </c>
    </row>
    <row r="23" spans="2:7" x14ac:dyDescent="0.35">
      <c r="F23" s="86"/>
      <c r="G23" s="41">
        <f>IFERROR((G22*1)/(COUNTIF(G11:G21,"&lt;2")),"NA")</f>
        <v>1</v>
      </c>
    </row>
  </sheetData>
  <mergeCells count="29">
    <mergeCell ref="E18:F18"/>
    <mergeCell ref="E19:F19"/>
    <mergeCell ref="E20:F20"/>
    <mergeCell ref="F22:F23"/>
    <mergeCell ref="B19:C19"/>
    <mergeCell ref="B21:C21"/>
    <mergeCell ref="E21:F21"/>
    <mergeCell ref="B20:C20"/>
    <mergeCell ref="B18:C18"/>
    <mergeCell ref="F5:G5"/>
    <mergeCell ref="F6:G6"/>
    <mergeCell ref="F7:G7"/>
    <mergeCell ref="B16:C16"/>
    <mergeCell ref="E16:F16"/>
    <mergeCell ref="B17:C17"/>
    <mergeCell ref="F8:G8"/>
    <mergeCell ref="B10:C10"/>
    <mergeCell ref="E10:F10"/>
    <mergeCell ref="B11:C11"/>
    <mergeCell ref="E11:F11"/>
    <mergeCell ref="B15:C15"/>
    <mergeCell ref="E15:F15"/>
    <mergeCell ref="B12:C12"/>
    <mergeCell ref="B13:C13"/>
    <mergeCell ref="B14:C14"/>
    <mergeCell ref="E12:F12"/>
    <mergeCell ref="E13:F13"/>
    <mergeCell ref="E14:F14"/>
    <mergeCell ref="E17:F17"/>
  </mergeCells>
  <dataValidations count="1">
    <dataValidation type="list" allowBlank="1" showInputMessage="1" showErrorMessage="1" sqref="D11:D21" xr:uid="{00000000-0002-0000-1600-000000000000}">
      <formula1>$H$7:$H$9</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H24"/>
  <sheetViews>
    <sheetView showGridLines="0" topLeftCell="A3" zoomScale="62" zoomScaleNormal="62" workbookViewId="0">
      <selection activeCell="T13" sqref="T13"/>
    </sheetView>
  </sheetViews>
  <sheetFormatPr baseColWidth="10" defaultColWidth="11.44140625" defaultRowHeight="15.6" x14ac:dyDescent="0.35"/>
  <cols>
    <col min="1" max="1" width="3.109375" style="1" customWidth="1"/>
    <col min="2" max="2" width="33.5546875" style="1" customWidth="1"/>
    <col min="3" max="3" width="50.6640625" style="1" customWidth="1"/>
    <col min="4" max="4" width="26.109375" style="1" customWidth="1"/>
    <col min="5" max="5" width="51.5546875" style="1" customWidth="1"/>
    <col min="6" max="6" width="21.44140625" style="1" customWidth="1"/>
    <col min="7" max="7" width="17.88671875" style="1" customWidth="1"/>
    <col min="8" max="8" width="0" style="42" hidden="1" customWidth="1"/>
    <col min="9" max="16384" width="11.44140625" style="1"/>
  </cols>
  <sheetData>
    <row r="2" spans="2:8" s="9" customFormat="1" ht="35.25" customHeight="1" x14ac:dyDescent="0.35">
      <c r="C2" s="52"/>
      <c r="D2" s="52"/>
      <c r="E2" s="52"/>
      <c r="F2" s="52"/>
      <c r="G2" s="52"/>
      <c r="H2" s="52"/>
    </row>
    <row r="3" spans="2:8" s="9" customFormat="1" ht="64.5" customHeight="1" x14ac:dyDescent="0.35">
      <c r="C3" s="53"/>
      <c r="D3" s="52"/>
      <c r="E3" s="52"/>
      <c r="F3" s="51"/>
      <c r="G3" s="51"/>
      <c r="H3" s="46"/>
    </row>
    <row r="4" spans="2:8" ht="36" customHeight="1" x14ac:dyDescent="0.35">
      <c r="B4" s="75" t="s">
        <v>1</v>
      </c>
      <c r="C4" s="54" t="str">
        <f>'Nivel 1'!C9</f>
        <v>Oficina Central</v>
      </c>
      <c r="D4" s="77" t="s">
        <v>6</v>
      </c>
      <c r="E4" s="54" t="str">
        <f>'Nivel 1'!E9</f>
        <v>Bimbo</v>
      </c>
      <c r="F4" s="86" t="s">
        <v>18</v>
      </c>
      <c r="G4" s="86"/>
    </row>
    <row r="5" spans="2:8" ht="41.25" customHeight="1" x14ac:dyDescent="0.35">
      <c r="B5" s="75" t="s">
        <v>2</v>
      </c>
      <c r="C5" s="54" t="str">
        <f>'Nivel 1'!C10</f>
        <v>Franklin Bratta</v>
      </c>
      <c r="D5" s="78" t="s">
        <v>5</v>
      </c>
      <c r="E5" s="54">
        <f>'Nivel 1'!E10</f>
        <v>45763</v>
      </c>
      <c r="F5" s="123"/>
      <c r="G5" s="123"/>
    </row>
    <row r="6" spans="2:8" ht="31.2" x14ac:dyDescent="0.35">
      <c r="B6" s="76" t="s">
        <v>20</v>
      </c>
      <c r="C6" s="54" t="str">
        <f>'Nivel 1'!C11</f>
        <v>Loreto lopez</v>
      </c>
      <c r="D6" s="75" t="s">
        <v>4</v>
      </c>
      <c r="E6" s="54">
        <f>'Nivel 1'!E11</f>
        <v>0.5</v>
      </c>
      <c r="F6" s="86" t="s">
        <v>17</v>
      </c>
      <c r="G6" s="86"/>
      <c r="H6" s="42" t="s">
        <v>27</v>
      </c>
    </row>
    <row r="7" spans="2:8" ht="26.25" customHeight="1" x14ac:dyDescent="0.35">
      <c r="B7" s="75" t="s">
        <v>3</v>
      </c>
      <c r="C7" s="54">
        <f>'Nivel 1'!C12</f>
        <v>45763</v>
      </c>
      <c r="D7" s="75" t="s">
        <v>7</v>
      </c>
      <c r="E7" s="54">
        <f>'Nivel 1'!E12</f>
        <v>0.75</v>
      </c>
      <c r="F7" s="122">
        <f>G24</f>
        <v>1</v>
      </c>
      <c r="G7" s="88"/>
      <c r="H7" s="42" t="s">
        <v>28</v>
      </c>
    </row>
    <row r="8" spans="2:8" x14ac:dyDescent="0.35">
      <c r="H8" s="42" t="s">
        <v>29</v>
      </c>
    </row>
    <row r="9" spans="2:8" s="9" customFormat="1" ht="31.2" x14ac:dyDescent="0.35">
      <c r="B9" s="86" t="s">
        <v>23</v>
      </c>
      <c r="C9" s="86"/>
      <c r="D9" s="74" t="s">
        <v>0</v>
      </c>
      <c r="E9" s="93" t="s">
        <v>114</v>
      </c>
      <c r="F9" s="93"/>
      <c r="G9" s="74" t="s">
        <v>16</v>
      </c>
      <c r="H9" s="46"/>
    </row>
    <row r="10" spans="2:8" s="38" customFormat="1" ht="50.1" customHeight="1" x14ac:dyDescent="0.35">
      <c r="B10" s="120" t="s">
        <v>127</v>
      </c>
      <c r="C10" s="120"/>
      <c r="D10" s="40" t="s">
        <v>27</v>
      </c>
      <c r="E10" s="88"/>
      <c r="F10" s="88"/>
      <c r="G10" s="40">
        <f>IF(D10="Cumple",1,IF(D10="No Cumple",0,"NA"))</f>
        <v>1</v>
      </c>
      <c r="H10" s="47"/>
    </row>
    <row r="11" spans="2:8" s="38" customFormat="1" ht="50.1" customHeight="1" x14ac:dyDescent="0.35">
      <c r="B11" s="87" t="s">
        <v>128</v>
      </c>
      <c r="C11" s="87"/>
      <c r="D11" s="40" t="s">
        <v>27</v>
      </c>
      <c r="E11" s="88"/>
      <c r="F11" s="88"/>
      <c r="G11" s="40">
        <f t="shared" ref="G11:G14" si="0">IF(D11="Cumple",1,IF(D11="No Cumple",0,"NA"))</f>
        <v>1</v>
      </c>
      <c r="H11" s="47"/>
    </row>
    <row r="12" spans="2:8" ht="50.1" customHeight="1" x14ac:dyDescent="0.35">
      <c r="B12" s="87" t="s">
        <v>129</v>
      </c>
      <c r="C12" s="87"/>
      <c r="D12" s="40" t="s">
        <v>27</v>
      </c>
      <c r="E12" s="106"/>
      <c r="F12" s="106"/>
      <c r="G12" s="40">
        <f t="shared" si="0"/>
        <v>1</v>
      </c>
    </row>
    <row r="13" spans="2:8" ht="50.1" customHeight="1" x14ac:dyDescent="0.35">
      <c r="B13" s="87" t="s">
        <v>130</v>
      </c>
      <c r="C13" s="87"/>
      <c r="D13" s="40" t="s">
        <v>27</v>
      </c>
      <c r="E13" s="106"/>
      <c r="F13" s="106"/>
      <c r="G13" s="40">
        <f t="shared" si="0"/>
        <v>1</v>
      </c>
    </row>
    <row r="14" spans="2:8" ht="50.1" customHeight="1" x14ac:dyDescent="0.35">
      <c r="B14" s="87" t="s">
        <v>131</v>
      </c>
      <c r="C14" s="87"/>
      <c r="D14" s="40" t="s">
        <v>27</v>
      </c>
      <c r="E14" s="106"/>
      <c r="F14" s="106"/>
      <c r="G14" s="40">
        <f t="shared" si="0"/>
        <v>1</v>
      </c>
    </row>
    <row r="15" spans="2:8" ht="50.1" customHeight="1" x14ac:dyDescent="0.35">
      <c r="B15" s="87" t="s">
        <v>132</v>
      </c>
      <c r="C15" s="87" t="s">
        <v>60</v>
      </c>
      <c r="D15" s="40" t="s">
        <v>27</v>
      </c>
      <c r="E15" s="106"/>
      <c r="F15" s="106"/>
      <c r="G15" s="40">
        <f t="shared" ref="G15:G22" si="1">IF(D15="Cumple",1,IF(D15="No Cumple",0,"NA"))</f>
        <v>1</v>
      </c>
    </row>
    <row r="16" spans="2:8" ht="50.1" customHeight="1" x14ac:dyDescent="0.35">
      <c r="B16" s="87" t="s">
        <v>133</v>
      </c>
      <c r="C16" s="87" t="s">
        <v>59</v>
      </c>
      <c r="D16" s="40" t="s">
        <v>27</v>
      </c>
      <c r="E16" s="106"/>
      <c r="F16" s="106"/>
      <c r="G16" s="40">
        <f t="shared" si="1"/>
        <v>1</v>
      </c>
    </row>
    <row r="17" spans="2:7" ht="50.1" customHeight="1" x14ac:dyDescent="0.35">
      <c r="B17" s="87" t="s">
        <v>134</v>
      </c>
      <c r="C17" s="87" t="s">
        <v>61</v>
      </c>
      <c r="D17" s="40" t="s">
        <v>27</v>
      </c>
      <c r="E17" s="106"/>
      <c r="F17" s="106"/>
      <c r="G17" s="40">
        <f t="shared" si="1"/>
        <v>1</v>
      </c>
    </row>
    <row r="18" spans="2:7" ht="50.1" customHeight="1" x14ac:dyDescent="0.35">
      <c r="B18" s="85" t="s">
        <v>117</v>
      </c>
      <c r="C18" s="85" t="s">
        <v>118</v>
      </c>
      <c r="D18" s="40" t="s">
        <v>27</v>
      </c>
      <c r="E18" s="106"/>
      <c r="F18" s="106"/>
      <c r="G18" s="40">
        <f t="shared" si="1"/>
        <v>1</v>
      </c>
    </row>
    <row r="19" spans="2:7" ht="50.1" customHeight="1" x14ac:dyDescent="0.35">
      <c r="B19" s="85" t="s">
        <v>119</v>
      </c>
      <c r="C19" s="85" t="s">
        <v>120</v>
      </c>
      <c r="D19" s="40" t="s">
        <v>27</v>
      </c>
      <c r="E19" s="106"/>
      <c r="F19" s="106"/>
      <c r="G19" s="40">
        <f t="shared" si="1"/>
        <v>1</v>
      </c>
    </row>
    <row r="20" spans="2:7" ht="50.1" customHeight="1" x14ac:dyDescent="0.35">
      <c r="B20" s="85" t="s">
        <v>121</v>
      </c>
      <c r="C20" s="85" t="s">
        <v>122</v>
      </c>
      <c r="D20" s="40" t="s">
        <v>27</v>
      </c>
      <c r="E20" s="106"/>
      <c r="F20" s="106"/>
      <c r="G20" s="40">
        <f t="shared" si="1"/>
        <v>1</v>
      </c>
    </row>
    <row r="21" spans="2:7" ht="50.1" customHeight="1" x14ac:dyDescent="0.35">
      <c r="B21" s="85" t="s">
        <v>123</v>
      </c>
      <c r="C21" s="85" t="s">
        <v>124</v>
      </c>
      <c r="D21" s="40" t="s">
        <v>27</v>
      </c>
      <c r="E21" s="106"/>
      <c r="F21" s="106"/>
      <c r="G21" s="40">
        <f t="shared" si="1"/>
        <v>1</v>
      </c>
    </row>
    <row r="22" spans="2:7" ht="50.1" customHeight="1" x14ac:dyDescent="0.35">
      <c r="B22" s="85" t="s">
        <v>125</v>
      </c>
      <c r="C22" s="85" t="s">
        <v>126</v>
      </c>
      <c r="D22" s="40" t="s">
        <v>27</v>
      </c>
      <c r="E22" s="106"/>
      <c r="F22" s="106"/>
      <c r="G22" s="40">
        <f t="shared" si="1"/>
        <v>1</v>
      </c>
    </row>
    <row r="23" spans="2:7" ht="30" customHeight="1" x14ac:dyDescent="0.35">
      <c r="F23" s="98" t="s">
        <v>15</v>
      </c>
      <c r="G23" s="55">
        <f>SUMIF(G10:G22,"&lt;2")</f>
        <v>13</v>
      </c>
    </row>
    <row r="24" spans="2:7" x14ac:dyDescent="0.35">
      <c r="F24" s="86"/>
      <c r="G24" s="41">
        <f>IFERROR((G23*1)/(COUNTIF(G10:G22,"&lt;2")),"NA")</f>
        <v>1</v>
      </c>
    </row>
  </sheetData>
  <mergeCells count="33">
    <mergeCell ref="F23:F24"/>
    <mergeCell ref="F7:G7"/>
    <mergeCell ref="F4:G4"/>
    <mergeCell ref="F5:G5"/>
    <mergeCell ref="F6:G6"/>
    <mergeCell ref="E15:F15"/>
    <mergeCell ref="E16:F16"/>
    <mergeCell ref="E17:F17"/>
    <mergeCell ref="E19:F19"/>
    <mergeCell ref="E18:F18"/>
    <mergeCell ref="E20:F20"/>
    <mergeCell ref="E21:F21"/>
    <mergeCell ref="E22:F22"/>
    <mergeCell ref="B9:C9"/>
    <mergeCell ref="E9:F9"/>
    <mergeCell ref="B10:C10"/>
    <mergeCell ref="E10:F10"/>
    <mergeCell ref="B12:C12"/>
    <mergeCell ref="B11:C11"/>
    <mergeCell ref="E11:F11"/>
    <mergeCell ref="B15:C15"/>
    <mergeCell ref="B22:C22"/>
    <mergeCell ref="B19:C19"/>
    <mergeCell ref="B18:C18"/>
    <mergeCell ref="B16:C16"/>
    <mergeCell ref="B17:C17"/>
    <mergeCell ref="B20:C20"/>
    <mergeCell ref="B21:C21"/>
    <mergeCell ref="B13:C13"/>
    <mergeCell ref="B14:C14"/>
    <mergeCell ref="E13:F13"/>
    <mergeCell ref="E14:F14"/>
    <mergeCell ref="E12:F12"/>
  </mergeCells>
  <dataValidations count="1">
    <dataValidation type="list" allowBlank="1" showInputMessage="1" showErrorMessage="1" sqref="D10:D22" xr:uid="{00000000-0002-0000-1700-000000000000}">
      <formula1>$H$6:$H$8</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7"/>
  <dimension ref="A4:H35"/>
  <sheetViews>
    <sheetView showGridLines="0" topLeftCell="A9" zoomScale="70" zoomScaleNormal="70" workbookViewId="0">
      <selection activeCell="K16" sqref="K16"/>
    </sheetView>
  </sheetViews>
  <sheetFormatPr baseColWidth="10" defaultColWidth="11.44140625" defaultRowHeight="15.6" x14ac:dyDescent="0.35"/>
  <cols>
    <col min="1" max="1" width="1.44140625" style="1" customWidth="1"/>
    <col min="2" max="2" width="38.6640625" style="1" customWidth="1"/>
    <col min="3" max="3" width="58.44140625" style="1" customWidth="1"/>
    <col min="4" max="4" width="25.6640625" style="1" customWidth="1"/>
    <col min="5" max="5" width="51.5546875" style="1" customWidth="1"/>
    <col min="6" max="6" width="32.44140625" style="1" customWidth="1"/>
    <col min="7" max="7" width="17" style="1" customWidth="1"/>
    <col min="8" max="8" width="0" style="42" hidden="1" customWidth="1"/>
    <col min="9" max="16384" width="11.44140625" style="1"/>
  </cols>
  <sheetData>
    <row r="4" spans="1:8" s="36" customFormat="1" ht="35.25" customHeight="1" x14ac:dyDescent="0.4">
      <c r="A4" s="5"/>
      <c r="B4" s="5"/>
      <c r="C4" s="34"/>
      <c r="D4" s="34"/>
      <c r="E4" s="34"/>
      <c r="F4" s="35"/>
      <c r="G4" s="35"/>
      <c r="H4" s="43"/>
    </row>
    <row r="5" spans="1:8" s="36" customFormat="1" ht="35.25" customHeight="1" x14ac:dyDescent="0.4">
      <c r="A5" s="5"/>
      <c r="B5" s="5"/>
      <c r="C5" s="2"/>
      <c r="D5" s="3"/>
      <c r="E5" s="3"/>
      <c r="F5" s="44"/>
      <c r="G5" s="44"/>
      <c r="H5" s="43"/>
    </row>
    <row r="6" spans="1:8" s="6" customFormat="1" ht="17.399999999999999" x14ac:dyDescent="0.4">
      <c r="C6" s="7"/>
      <c r="D6" s="7"/>
      <c r="E6" s="7"/>
      <c r="H6" s="45"/>
    </row>
    <row r="7" spans="1:8" s="6" customFormat="1" ht="36.75" customHeight="1" x14ac:dyDescent="0.4">
      <c r="B7" s="69" t="s">
        <v>1</v>
      </c>
      <c r="C7" s="37" t="str">
        <f>'Nivel 1'!C9</f>
        <v>Oficina Central</v>
      </c>
      <c r="D7" s="71" t="s">
        <v>6</v>
      </c>
      <c r="E7" s="37" t="str">
        <f>'Nivel 1'!E9</f>
        <v>Bimbo</v>
      </c>
      <c r="F7" s="89" t="s">
        <v>19</v>
      </c>
      <c r="G7" s="89"/>
      <c r="H7" s="45"/>
    </row>
    <row r="8" spans="1:8" s="6" customFormat="1" ht="45" customHeight="1" x14ac:dyDescent="0.4">
      <c r="B8" s="69" t="s">
        <v>2</v>
      </c>
      <c r="C8" s="37" t="str">
        <f>'Nivel 1'!C10</f>
        <v>Franklin Bratta</v>
      </c>
      <c r="D8" s="72" t="s">
        <v>5</v>
      </c>
      <c r="E8" s="37">
        <f>'Nivel 1'!E10</f>
        <v>45763</v>
      </c>
      <c r="F8" s="90"/>
      <c r="G8" s="90"/>
      <c r="H8" s="45"/>
    </row>
    <row r="9" spans="1:8" s="6" customFormat="1" ht="37.5" customHeight="1" x14ac:dyDescent="0.4">
      <c r="B9" s="70" t="s">
        <v>20</v>
      </c>
      <c r="C9" s="37" t="str">
        <f>'Nivel 1'!C11</f>
        <v>Loreto lopez</v>
      </c>
      <c r="D9" s="69" t="s">
        <v>4</v>
      </c>
      <c r="E9" s="37">
        <f>'Nivel 1'!E11</f>
        <v>0.5</v>
      </c>
      <c r="F9" s="89" t="s">
        <v>17</v>
      </c>
      <c r="G9" s="89"/>
      <c r="H9" s="45" t="s">
        <v>27</v>
      </c>
    </row>
    <row r="10" spans="1:8" s="6" customFormat="1" ht="28.5" customHeight="1" x14ac:dyDescent="0.4">
      <c r="B10" s="69" t="s">
        <v>3</v>
      </c>
      <c r="C10" s="37">
        <f>'Nivel 1'!C12</f>
        <v>45763</v>
      </c>
      <c r="D10" s="69" t="s">
        <v>7</v>
      </c>
      <c r="E10" s="37">
        <f>'Nivel 1'!E12</f>
        <v>0.75</v>
      </c>
      <c r="F10" s="91">
        <f>G35</f>
        <v>0.90476190476190477</v>
      </c>
      <c r="G10" s="92"/>
      <c r="H10" s="45" t="s">
        <v>28</v>
      </c>
    </row>
    <row r="11" spans="1:8" x14ac:dyDescent="0.35">
      <c r="H11" s="42" t="s">
        <v>29</v>
      </c>
    </row>
    <row r="12" spans="1:8" s="9" customFormat="1" ht="31.2" x14ac:dyDescent="0.35">
      <c r="B12" s="86" t="s">
        <v>62</v>
      </c>
      <c r="C12" s="86"/>
      <c r="D12" s="74" t="s">
        <v>0</v>
      </c>
      <c r="E12" s="93" t="s">
        <v>114</v>
      </c>
      <c r="F12" s="93"/>
      <c r="G12" s="74" t="s">
        <v>16</v>
      </c>
      <c r="H12" s="46"/>
    </row>
    <row r="13" spans="1:8" s="38" customFormat="1" ht="50.1" customHeight="1" x14ac:dyDescent="0.3">
      <c r="B13" s="85" t="s">
        <v>179</v>
      </c>
      <c r="C13" s="85"/>
      <c r="D13" s="40" t="s">
        <v>28</v>
      </c>
      <c r="E13" s="106"/>
      <c r="F13" s="106"/>
      <c r="G13" s="40">
        <f t="shared" ref="G13:G27" si="0">IF(D13="Cumple",1,IF(D13="No Cumple",0,"NA"))</f>
        <v>0</v>
      </c>
      <c r="H13" s="47"/>
    </row>
    <row r="14" spans="1:8" s="38" customFormat="1" ht="50.1" customHeight="1" x14ac:dyDescent="0.3">
      <c r="B14" s="85" t="s">
        <v>180</v>
      </c>
      <c r="C14" s="85"/>
      <c r="D14" s="40" t="s">
        <v>28</v>
      </c>
      <c r="E14" s="106"/>
      <c r="F14" s="106"/>
      <c r="G14" s="40">
        <f t="shared" si="0"/>
        <v>0</v>
      </c>
      <c r="H14" s="47"/>
    </row>
    <row r="15" spans="1:8" s="38" customFormat="1" ht="50.1" customHeight="1" x14ac:dyDescent="0.3">
      <c r="B15" s="85" t="s">
        <v>181</v>
      </c>
      <c r="C15" s="85"/>
      <c r="D15" s="40" t="s">
        <v>27</v>
      </c>
      <c r="E15" s="106"/>
      <c r="F15" s="106"/>
      <c r="G15" s="40">
        <f t="shared" si="0"/>
        <v>1</v>
      </c>
      <c r="H15" s="47"/>
    </row>
    <row r="16" spans="1:8" s="38" customFormat="1" ht="50.1" customHeight="1" x14ac:dyDescent="0.3">
      <c r="B16" s="85" t="s">
        <v>182</v>
      </c>
      <c r="C16" s="85"/>
      <c r="D16" s="40" t="s">
        <v>27</v>
      </c>
      <c r="E16" s="106"/>
      <c r="F16" s="106"/>
      <c r="G16" s="40">
        <f t="shared" si="0"/>
        <v>1</v>
      </c>
      <c r="H16" s="47"/>
    </row>
    <row r="17" spans="2:8" s="38" customFormat="1" ht="50.1" customHeight="1" x14ac:dyDescent="0.3">
      <c r="B17" s="85" t="s">
        <v>183</v>
      </c>
      <c r="C17" s="85"/>
      <c r="D17" s="40" t="s">
        <v>27</v>
      </c>
      <c r="E17" s="106"/>
      <c r="F17" s="106"/>
      <c r="G17" s="40">
        <f t="shared" si="0"/>
        <v>1</v>
      </c>
      <c r="H17" s="47"/>
    </row>
    <row r="18" spans="2:8" s="38" customFormat="1" ht="50.1" customHeight="1" x14ac:dyDescent="0.3">
      <c r="B18" s="85" t="s">
        <v>184</v>
      </c>
      <c r="C18" s="85"/>
      <c r="D18" s="40" t="s">
        <v>27</v>
      </c>
      <c r="E18" s="106"/>
      <c r="F18" s="106"/>
      <c r="G18" s="40">
        <f t="shared" si="0"/>
        <v>1</v>
      </c>
      <c r="H18" s="47"/>
    </row>
    <row r="19" spans="2:8" s="38" customFormat="1" ht="50.1" customHeight="1" x14ac:dyDescent="0.3">
      <c r="B19" s="85" t="s">
        <v>185</v>
      </c>
      <c r="C19" s="85"/>
      <c r="D19" s="40" t="s">
        <v>27</v>
      </c>
      <c r="E19" s="106"/>
      <c r="F19" s="106"/>
      <c r="G19" s="40">
        <f t="shared" si="0"/>
        <v>1</v>
      </c>
      <c r="H19" s="47"/>
    </row>
    <row r="20" spans="2:8" s="38" customFormat="1" ht="50.1" customHeight="1" x14ac:dyDescent="0.3">
      <c r="B20" s="85" t="s">
        <v>186</v>
      </c>
      <c r="C20" s="85"/>
      <c r="D20" s="40" t="s">
        <v>27</v>
      </c>
      <c r="E20" s="106"/>
      <c r="F20" s="106"/>
      <c r="G20" s="40">
        <f t="shared" si="0"/>
        <v>1</v>
      </c>
      <c r="H20" s="47"/>
    </row>
    <row r="21" spans="2:8" s="38" customFormat="1" ht="73.5" customHeight="1" x14ac:dyDescent="0.3">
      <c r="B21" s="85" t="s">
        <v>187</v>
      </c>
      <c r="C21" s="85" t="s">
        <v>188</v>
      </c>
      <c r="D21" s="40" t="s">
        <v>27</v>
      </c>
      <c r="E21" s="106"/>
      <c r="F21" s="106"/>
      <c r="G21" s="40">
        <f t="shared" si="0"/>
        <v>1</v>
      </c>
      <c r="H21" s="47"/>
    </row>
    <row r="22" spans="2:8" s="38" customFormat="1" ht="50.1" customHeight="1" x14ac:dyDescent="0.3">
      <c r="B22" s="85" t="s">
        <v>189</v>
      </c>
      <c r="C22" s="85" t="s">
        <v>190</v>
      </c>
      <c r="D22" s="40" t="s">
        <v>27</v>
      </c>
      <c r="E22" s="106"/>
      <c r="F22" s="106"/>
      <c r="G22" s="40">
        <f t="shared" si="0"/>
        <v>1</v>
      </c>
      <c r="H22" s="47"/>
    </row>
    <row r="23" spans="2:8" s="38" customFormat="1" ht="50.1" customHeight="1" x14ac:dyDescent="0.3">
      <c r="B23" s="85" t="s">
        <v>191</v>
      </c>
      <c r="C23" s="85" t="s">
        <v>192</v>
      </c>
      <c r="D23" s="40" t="s">
        <v>27</v>
      </c>
      <c r="E23" s="106"/>
      <c r="F23" s="106"/>
      <c r="G23" s="40">
        <f t="shared" si="0"/>
        <v>1</v>
      </c>
      <c r="H23" s="47"/>
    </row>
    <row r="24" spans="2:8" s="38" customFormat="1" ht="72.75" customHeight="1" x14ac:dyDescent="0.3">
      <c r="B24" s="85" t="s">
        <v>193</v>
      </c>
      <c r="C24" s="85" t="s">
        <v>194</v>
      </c>
      <c r="D24" s="40" t="s">
        <v>27</v>
      </c>
      <c r="E24" s="106"/>
      <c r="F24" s="106"/>
      <c r="G24" s="40">
        <f t="shared" si="0"/>
        <v>1</v>
      </c>
      <c r="H24" s="47"/>
    </row>
    <row r="25" spans="2:8" s="38" customFormat="1" ht="50.1" customHeight="1" x14ac:dyDescent="0.3">
      <c r="B25" s="85" t="s">
        <v>195</v>
      </c>
      <c r="C25" s="85" t="s">
        <v>196</v>
      </c>
      <c r="D25" s="40" t="s">
        <v>27</v>
      </c>
      <c r="E25" s="106"/>
      <c r="F25" s="106"/>
      <c r="G25" s="40">
        <f t="shared" si="0"/>
        <v>1</v>
      </c>
      <c r="H25" s="47"/>
    </row>
    <row r="26" spans="2:8" s="38" customFormat="1" ht="50.1" customHeight="1" x14ac:dyDescent="0.3">
      <c r="B26" s="85" t="s">
        <v>197</v>
      </c>
      <c r="C26" s="85" t="s">
        <v>198</v>
      </c>
      <c r="D26" s="40" t="s">
        <v>27</v>
      </c>
      <c r="E26" s="106"/>
      <c r="F26" s="106"/>
      <c r="G26" s="40">
        <f t="shared" si="0"/>
        <v>1</v>
      </c>
      <c r="H26" s="47"/>
    </row>
    <row r="27" spans="2:8" s="38" customFormat="1" ht="50.1" customHeight="1" x14ac:dyDescent="0.3">
      <c r="B27" s="85" t="s">
        <v>199</v>
      </c>
      <c r="C27" s="85" t="s">
        <v>200</v>
      </c>
      <c r="D27" s="40" t="s">
        <v>27</v>
      </c>
      <c r="E27" s="106"/>
      <c r="F27" s="106"/>
      <c r="G27" s="40">
        <f t="shared" si="0"/>
        <v>1</v>
      </c>
      <c r="H27" s="47"/>
    </row>
    <row r="28" spans="2:8" s="38" customFormat="1" ht="50.1" customHeight="1" x14ac:dyDescent="0.3">
      <c r="B28" s="85" t="s">
        <v>201</v>
      </c>
      <c r="C28" s="85" t="s">
        <v>202</v>
      </c>
      <c r="D28" s="40" t="s">
        <v>27</v>
      </c>
      <c r="E28" s="106"/>
      <c r="F28" s="106"/>
      <c r="G28" s="40">
        <f t="shared" ref="G28:G33" si="1">IF(D28="Cumple",1,IF(D28="No Cumple",0,"NA"))</f>
        <v>1</v>
      </c>
      <c r="H28" s="47"/>
    </row>
    <row r="29" spans="2:8" s="38" customFormat="1" ht="50.1" customHeight="1" x14ac:dyDescent="0.3">
      <c r="B29" s="85" t="s">
        <v>203</v>
      </c>
      <c r="C29" s="85" t="s">
        <v>204</v>
      </c>
      <c r="D29" s="40" t="s">
        <v>27</v>
      </c>
      <c r="E29" s="106"/>
      <c r="F29" s="106"/>
      <c r="G29" s="40">
        <f t="shared" si="1"/>
        <v>1</v>
      </c>
      <c r="H29" s="47"/>
    </row>
    <row r="30" spans="2:8" s="38" customFormat="1" ht="62.25" customHeight="1" x14ac:dyDescent="0.3">
      <c r="B30" s="85" t="s">
        <v>205</v>
      </c>
      <c r="C30" s="85" t="s">
        <v>206</v>
      </c>
      <c r="D30" s="40" t="s">
        <v>27</v>
      </c>
      <c r="E30" s="106"/>
      <c r="F30" s="106"/>
      <c r="G30" s="40">
        <f t="shared" si="1"/>
        <v>1</v>
      </c>
      <c r="H30" s="47"/>
    </row>
    <row r="31" spans="2:8" s="38" customFormat="1" ht="50.1" customHeight="1" x14ac:dyDescent="0.3">
      <c r="B31" s="85" t="s">
        <v>207</v>
      </c>
      <c r="C31" s="85" t="s">
        <v>208</v>
      </c>
      <c r="D31" s="40" t="s">
        <v>27</v>
      </c>
      <c r="E31" s="106"/>
      <c r="F31" s="106"/>
      <c r="G31" s="40">
        <f t="shared" si="1"/>
        <v>1</v>
      </c>
      <c r="H31" s="47"/>
    </row>
    <row r="32" spans="2:8" s="38" customFormat="1" ht="50.1" customHeight="1" x14ac:dyDescent="0.3">
      <c r="B32" s="85" t="s">
        <v>209</v>
      </c>
      <c r="C32" s="85" t="s">
        <v>210</v>
      </c>
      <c r="D32" s="40" t="s">
        <v>27</v>
      </c>
      <c r="E32" s="106"/>
      <c r="F32" s="106"/>
      <c r="G32" s="40">
        <f t="shared" si="1"/>
        <v>1</v>
      </c>
      <c r="H32" s="47"/>
    </row>
    <row r="33" spans="2:8" s="38" customFormat="1" ht="50.1" customHeight="1" x14ac:dyDescent="0.3">
      <c r="B33" s="85" t="s">
        <v>211</v>
      </c>
      <c r="C33" s="85" t="s">
        <v>212</v>
      </c>
      <c r="D33" s="40" t="s">
        <v>27</v>
      </c>
      <c r="E33" s="106"/>
      <c r="F33" s="106"/>
      <c r="G33" s="40">
        <f t="shared" si="1"/>
        <v>1</v>
      </c>
      <c r="H33" s="47"/>
    </row>
    <row r="34" spans="2:8" x14ac:dyDescent="0.35">
      <c r="F34" s="86" t="s">
        <v>15</v>
      </c>
      <c r="G34" s="40">
        <f>SUMIF(G13:G33,"&lt;2")</f>
        <v>19</v>
      </c>
    </row>
    <row r="35" spans="2:8" x14ac:dyDescent="0.35">
      <c r="F35" s="86"/>
      <c r="G35" s="41">
        <f>IFERROR((G34*1)/(COUNTIF(G13:G33,"&lt;2")),"NA")</f>
        <v>0.90476190476190477</v>
      </c>
    </row>
  </sheetData>
  <mergeCells count="49">
    <mergeCell ref="B24:C24"/>
    <mergeCell ref="E14:F14"/>
    <mergeCell ref="E18:F18"/>
    <mergeCell ref="E19:F19"/>
    <mergeCell ref="E20:F20"/>
    <mergeCell ref="E21:F21"/>
    <mergeCell ref="B22:C22"/>
    <mergeCell ref="F34:F35"/>
    <mergeCell ref="E33:F33"/>
    <mergeCell ref="B27:C27"/>
    <mergeCell ref="B28:C28"/>
    <mergeCell ref="B33:C33"/>
    <mergeCell ref="B32:C32"/>
    <mergeCell ref="B30:C30"/>
    <mergeCell ref="B31:C31"/>
    <mergeCell ref="E28:F28"/>
    <mergeCell ref="B29:C29"/>
    <mergeCell ref="F9:G9"/>
    <mergeCell ref="F7:G7"/>
    <mergeCell ref="F10:G10"/>
    <mergeCell ref="F8:G8"/>
    <mergeCell ref="E32:F32"/>
    <mergeCell ref="E31:F31"/>
    <mergeCell ref="E30:F30"/>
    <mergeCell ref="E29:F29"/>
    <mergeCell ref="E26:F26"/>
    <mergeCell ref="E27:F27"/>
    <mergeCell ref="E15:F15"/>
    <mergeCell ref="E16:F16"/>
    <mergeCell ref="E17:F17"/>
    <mergeCell ref="E23:F23"/>
    <mergeCell ref="E24:F24"/>
    <mergeCell ref="E25:F25"/>
    <mergeCell ref="B26:C26"/>
    <mergeCell ref="B23:C23"/>
    <mergeCell ref="E12:F12"/>
    <mergeCell ref="B13:C13"/>
    <mergeCell ref="B12:C12"/>
    <mergeCell ref="E13:F13"/>
    <mergeCell ref="E22:F22"/>
    <mergeCell ref="B21:C21"/>
    <mergeCell ref="B14:C14"/>
    <mergeCell ref="B15:C15"/>
    <mergeCell ref="B16:C16"/>
    <mergeCell ref="B17:C17"/>
    <mergeCell ref="B18:C18"/>
    <mergeCell ref="B20:C20"/>
    <mergeCell ref="B19:C19"/>
    <mergeCell ref="B25:C25"/>
  </mergeCells>
  <dataValidations count="1">
    <dataValidation type="list" allowBlank="1" showInputMessage="1" showErrorMessage="1" sqref="D13:D33" xr:uid="{00000000-0002-0000-0F00-000000000000}">
      <formula1>$H$9:$H$11</formula1>
    </dataValidation>
  </dataValidation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7B03F-7E35-4D2B-BEA3-CC68B1DB5265}">
  <dimension ref="A1:G34"/>
  <sheetViews>
    <sheetView showGridLines="0" topLeftCell="A10" zoomScale="64" zoomScaleNormal="64" workbookViewId="0">
      <selection activeCell="K41" sqref="K41"/>
    </sheetView>
  </sheetViews>
  <sheetFormatPr baseColWidth="10" defaultColWidth="11.44140625" defaultRowHeight="15.6" x14ac:dyDescent="0.35"/>
  <cols>
    <col min="1" max="1" width="3.44140625" style="1" customWidth="1"/>
    <col min="2" max="2" width="27.88671875" style="1" customWidth="1"/>
    <col min="3" max="3" width="50.6640625" style="1" customWidth="1"/>
    <col min="4" max="4" width="25.6640625" style="1" customWidth="1"/>
    <col min="5" max="5" width="51.5546875" style="1" customWidth="1"/>
    <col min="6" max="6" width="32.44140625" style="1" customWidth="1"/>
    <col min="7" max="7" width="17" style="1" customWidth="1"/>
    <col min="8" max="16384" width="11.44140625" style="1"/>
  </cols>
  <sheetData>
    <row r="1" spans="1:7" s="36" customFormat="1" ht="35.25" customHeight="1" x14ac:dyDescent="0.4">
      <c r="A1" s="5"/>
      <c r="B1" s="5"/>
      <c r="C1" s="34"/>
      <c r="D1" s="34"/>
      <c r="E1" s="34"/>
      <c r="F1" s="35"/>
      <c r="G1" s="35"/>
    </row>
    <row r="2" spans="1:7" s="36" customFormat="1" ht="35.25" customHeight="1" x14ac:dyDescent="0.4">
      <c r="A2" s="5"/>
      <c r="B2" s="5"/>
      <c r="C2" s="34"/>
      <c r="D2" s="34"/>
      <c r="E2" s="34"/>
      <c r="F2" s="35"/>
      <c r="G2" s="35"/>
    </row>
    <row r="3" spans="1:7" s="6" customFormat="1" ht="49.2" customHeight="1" x14ac:dyDescent="0.4">
      <c r="C3" s="7"/>
      <c r="D3" s="7"/>
      <c r="E3" s="7"/>
    </row>
    <row r="4" spans="1:7" s="6" customFormat="1" ht="31.5" customHeight="1" x14ac:dyDescent="0.4">
      <c r="B4" s="69" t="s">
        <v>1</v>
      </c>
      <c r="C4" s="37" t="str">
        <f>'Nivel 1'!C9</f>
        <v>Oficina Central</v>
      </c>
      <c r="D4" s="69" t="s">
        <v>6</v>
      </c>
      <c r="E4" s="37" t="str">
        <f>'Nivel 1'!E9</f>
        <v>Bimbo</v>
      </c>
      <c r="F4" s="124" t="s">
        <v>19</v>
      </c>
      <c r="G4" s="125"/>
    </row>
    <row r="5" spans="1:7" s="6" customFormat="1" ht="41.25" customHeight="1" x14ac:dyDescent="0.4">
      <c r="B5" s="69" t="s">
        <v>2</v>
      </c>
      <c r="C5" s="37" t="str">
        <f>'Nivel 1'!C10</f>
        <v>Franklin Bratta</v>
      </c>
      <c r="D5" s="70" t="s">
        <v>5</v>
      </c>
      <c r="E5" s="37">
        <f>'Nivel 1'!E10</f>
        <v>45763</v>
      </c>
      <c r="F5" s="90"/>
      <c r="G5" s="90"/>
    </row>
    <row r="6" spans="1:7" s="6" customFormat="1" ht="51.75" customHeight="1" x14ac:dyDescent="0.4">
      <c r="B6" s="69" t="s">
        <v>20</v>
      </c>
      <c r="C6" s="37" t="str">
        <f>'Nivel 1'!C11</f>
        <v>Loreto lopez</v>
      </c>
      <c r="D6" s="69" t="s">
        <v>4</v>
      </c>
      <c r="E6" s="37">
        <f>'Nivel 1'!E11</f>
        <v>0.5</v>
      </c>
      <c r="F6" s="124" t="s">
        <v>17</v>
      </c>
      <c r="G6" s="125"/>
    </row>
    <row r="7" spans="1:7" s="6" customFormat="1" ht="36" customHeight="1" x14ac:dyDescent="0.4">
      <c r="B7" s="69" t="s">
        <v>3</v>
      </c>
      <c r="C7" s="37">
        <f>'Nivel 1'!C12</f>
        <v>45763</v>
      </c>
      <c r="D7" s="69" t="s">
        <v>7</v>
      </c>
      <c r="E7" s="37">
        <f>'Nivel 1'!E12</f>
        <v>0.75</v>
      </c>
      <c r="F7" s="91">
        <f>G34</f>
        <v>0.95652173913043481</v>
      </c>
      <c r="G7" s="92"/>
    </row>
    <row r="9" spans="1:7" s="9" customFormat="1" ht="34.799999999999997" x14ac:dyDescent="0.35">
      <c r="B9" s="86" t="s">
        <v>63</v>
      </c>
      <c r="C9" s="86"/>
      <c r="D9" s="73" t="s">
        <v>116</v>
      </c>
      <c r="E9" s="93" t="s">
        <v>114</v>
      </c>
      <c r="F9" s="93"/>
      <c r="G9" s="69" t="s">
        <v>115</v>
      </c>
    </row>
    <row r="10" spans="1:7" s="38" customFormat="1" ht="50.1" customHeight="1" x14ac:dyDescent="0.3">
      <c r="B10" s="87" t="s">
        <v>213</v>
      </c>
      <c r="C10" s="87"/>
      <c r="D10" s="40" t="s">
        <v>28</v>
      </c>
      <c r="E10" s="106"/>
      <c r="F10" s="106"/>
      <c r="G10" s="40">
        <f t="shared" ref="G10:G32" si="0">IF(D10="Cumple",1,IF(D10="No Cumple",0,"NA"))</f>
        <v>0</v>
      </c>
    </row>
    <row r="11" spans="1:7" s="38" customFormat="1" ht="50.1" customHeight="1" x14ac:dyDescent="0.3">
      <c r="B11" s="85" t="s">
        <v>214</v>
      </c>
      <c r="C11" s="85"/>
      <c r="D11" s="40" t="s">
        <v>27</v>
      </c>
      <c r="E11" s="106"/>
      <c r="F11" s="106"/>
      <c r="G11" s="40">
        <f t="shared" si="0"/>
        <v>1</v>
      </c>
    </row>
    <row r="12" spans="1:7" s="38" customFormat="1" ht="50.1" customHeight="1" x14ac:dyDescent="0.3">
      <c r="B12" s="85" t="s">
        <v>215</v>
      </c>
      <c r="C12" s="85"/>
      <c r="D12" s="40" t="s">
        <v>27</v>
      </c>
      <c r="E12" s="106"/>
      <c r="F12" s="106"/>
      <c r="G12" s="40">
        <f t="shared" si="0"/>
        <v>1</v>
      </c>
    </row>
    <row r="13" spans="1:7" s="38" customFormat="1" ht="50.1" customHeight="1" x14ac:dyDescent="0.3">
      <c r="B13" s="85" t="s">
        <v>216</v>
      </c>
      <c r="C13" s="85"/>
      <c r="D13" s="40" t="s">
        <v>27</v>
      </c>
      <c r="E13" s="106"/>
      <c r="F13" s="106"/>
      <c r="G13" s="40">
        <f t="shared" si="0"/>
        <v>1</v>
      </c>
    </row>
    <row r="14" spans="1:7" s="38" customFormat="1" ht="50.1" customHeight="1" x14ac:dyDescent="0.3">
      <c r="B14" s="85" t="s">
        <v>217</v>
      </c>
      <c r="C14" s="85"/>
      <c r="D14" s="40" t="s">
        <v>27</v>
      </c>
      <c r="E14" s="106"/>
      <c r="F14" s="106"/>
      <c r="G14" s="40">
        <f t="shared" si="0"/>
        <v>1</v>
      </c>
    </row>
    <row r="15" spans="1:7" s="38" customFormat="1" ht="50.1" customHeight="1" x14ac:dyDescent="0.3">
      <c r="B15" s="85" t="s">
        <v>218</v>
      </c>
      <c r="C15" s="85"/>
      <c r="D15" s="40" t="s">
        <v>27</v>
      </c>
      <c r="E15" s="106"/>
      <c r="F15" s="106"/>
      <c r="G15" s="40">
        <f t="shared" si="0"/>
        <v>1</v>
      </c>
    </row>
    <row r="16" spans="1:7" s="38" customFormat="1" ht="50.1" customHeight="1" x14ac:dyDescent="0.3">
      <c r="B16" s="85" t="s">
        <v>219</v>
      </c>
      <c r="C16" s="85"/>
      <c r="D16" s="40" t="s">
        <v>27</v>
      </c>
      <c r="E16" s="106"/>
      <c r="F16" s="106"/>
      <c r="G16" s="40">
        <f t="shared" si="0"/>
        <v>1</v>
      </c>
    </row>
    <row r="17" spans="2:7" s="38" customFormat="1" ht="50.1" customHeight="1" x14ac:dyDescent="0.3">
      <c r="B17" s="85" t="s">
        <v>220</v>
      </c>
      <c r="C17" s="85"/>
      <c r="D17" s="40" t="s">
        <v>27</v>
      </c>
      <c r="E17" s="106"/>
      <c r="F17" s="106"/>
      <c r="G17" s="40">
        <f t="shared" si="0"/>
        <v>1</v>
      </c>
    </row>
    <row r="18" spans="2:7" s="38" customFormat="1" ht="50.1" customHeight="1" x14ac:dyDescent="0.3">
      <c r="B18" s="85" t="s">
        <v>221</v>
      </c>
      <c r="C18" s="85"/>
      <c r="D18" s="40" t="s">
        <v>27</v>
      </c>
      <c r="E18" s="106"/>
      <c r="F18" s="106"/>
      <c r="G18" s="40">
        <f t="shared" si="0"/>
        <v>1</v>
      </c>
    </row>
    <row r="19" spans="2:7" s="38" customFormat="1" ht="50.1" customHeight="1" x14ac:dyDescent="0.3">
      <c r="B19" s="85" t="s">
        <v>222</v>
      </c>
      <c r="C19" s="85"/>
      <c r="D19" s="40" t="s">
        <v>27</v>
      </c>
      <c r="E19" s="106"/>
      <c r="F19" s="106"/>
      <c r="G19" s="40">
        <f t="shared" si="0"/>
        <v>1</v>
      </c>
    </row>
    <row r="20" spans="2:7" s="38" customFormat="1" ht="50.1" customHeight="1" x14ac:dyDescent="0.3">
      <c r="B20" s="85" t="s">
        <v>223</v>
      </c>
      <c r="C20" s="85"/>
      <c r="D20" s="40" t="s">
        <v>27</v>
      </c>
      <c r="E20" s="106"/>
      <c r="F20" s="106"/>
      <c r="G20" s="40">
        <f t="shared" si="0"/>
        <v>1</v>
      </c>
    </row>
    <row r="21" spans="2:7" s="38" customFormat="1" ht="50.1" customHeight="1" x14ac:dyDescent="0.3">
      <c r="B21" s="85" t="s">
        <v>224</v>
      </c>
      <c r="C21" s="85"/>
      <c r="D21" s="40" t="s">
        <v>27</v>
      </c>
      <c r="E21" s="106"/>
      <c r="F21" s="106"/>
      <c r="G21" s="40">
        <f t="shared" si="0"/>
        <v>1</v>
      </c>
    </row>
    <row r="22" spans="2:7" s="38" customFormat="1" ht="50.1" customHeight="1" x14ac:dyDescent="0.3">
      <c r="B22" s="85" t="s">
        <v>225</v>
      </c>
      <c r="C22" s="85"/>
      <c r="D22" s="40" t="s">
        <v>27</v>
      </c>
      <c r="E22" s="106"/>
      <c r="F22" s="106"/>
      <c r="G22" s="40">
        <f t="shared" si="0"/>
        <v>1</v>
      </c>
    </row>
    <row r="23" spans="2:7" s="38" customFormat="1" ht="50.1" customHeight="1" x14ac:dyDescent="0.3">
      <c r="B23" s="85" t="s">
        <v>226</v>
      </c>
      <c r="C23" s="85"/>
      <c r="D23" s="40" t="s">
        <v>27</v>
      </c>
      <c r="E23" s="106"/>
      <c r="F23" s="106"/>
      <c r="G23" s="40">
        <f t="shared" si="0"/>
        <v>1</v>
      </c>
    </row>
    <row r="24" spans="2:7" s="38" customFormat="1" ht="50.1" customHeight="1" x14ac:dyDescent="0.3">
      <c r="B24" s="85" t="s">
        <v>227</v>
      </c>
      <c r="C24" s="85"/>
      <c r="D24" s="40" t="s">
        <v>27</v>
      </c>
      <c r="E24" s="106"/>
      <c r="F24" s="106"/>
      <c r="G24" s="40">
        <f t="shared" si="0"/>
        <v>1</v>
      </c>
    </row>
    <row r="25" spans="2:7" s="38" customFormat="1" ht="50.1" customHeight="1" x14ac:dyDescent="0.3">
      <c r="B25" s="85" t="s">
        <v>228</v>
      </c>
      <c r="C25" s="85"/>
      <c r="D25" s="40" t="s">
        <v>27</v>
      </c>
      <c r="E25" s="106"/>
      <c r="F25" s="106"/>
      <c r="G25" s="40">
        <f t="shared" si="0"/>
        <v>1</v>
      </c>
    </row>
    <row r="26" spans="2:7" s="38" customFormat="1" ht="50.1" customHeight="1" x14ac:dyDescent="0.3">
      <c r="B26" s="85" t="s">
        <v>229</v>
      </c>
      <c r="C26" s="85"/>
      <c r="D26" s="40" t="s">
        <v>27</v>
      </c>
      <c r="E26" s="106"/>
      <c r="F26" s="106"/>
      <c r="G26" s="40">
        <f t="shared" si="0"/>
        <v>1</v>
      </c>
    </row>
    <row r="27" spans="2:7" s="38" customFormat="1" ht="50.1" customHeight="1" x14ac:dyDescent="0.3">
      <c r="B27" s="85" t="s">
        <v>230</v>
      </c>
      <c r="C27" s="85"/>
      <c r="D27" s="40" t="s">
        <v>27</v>
      </c>
      <c r="E27" s="106"/>
      <c r="F27" s="106"/>
      <c r="G27" s="40">
        <f t="shared" si="0"/>
        <v>1</v>
      </c>
    </row>
    <row r="28" spans="2:7" s="38" customFormat="1" ht="50.1" customHeight="1" x14ac:dyDescent="0.3">
      <c r="B28" s="85" t="s">
        <v>231</v>
      </c>
      <c r="C28" s="85"/>
      <c r="D28" s="40" t="s">
        <v>27</v>
      </c>
      <c r="E28" s="106"/>
      <c r="F28" s="106"/>
      <c r="G28" s="40">
        <f t="shared" si="0"/>
        <v>1</v>
      </c>
    </row>
    <row r="29" spans="2:7" s="38" customFormat="1" ht="50.1" customHeight="1" x14ac:dyDescent="0.3">
      <c r="B29" s="85" t="s">
        <v>232</v>
      </c>
      <c r="C29" s="85"/>
      <c r="D29" s="40" t="s">
        <v>27</v>
      </c>
      <c r="E29" s="106"/>
      <c r="F29" s="106"/>
      <c r="G29" s="40">
        <f t="shared" si="0"/>
        <v>1</v>
      </c>
    </row>
    <row r="30" spans="2:7" s="38" customFormat="1" ht="50.1" customHeight="1" x14ac:dyDescent="0.3">
      <c r="B30" s="85" t="s">
        <v>233</v>
      </c>
      <c r="C30" s="85"/>
      <c r="D30" s="40" t="s">
        <v>27</v>
      </c>
      <c r="E30" s="106"/>
      <c r="F30" s="106"/>
      <c r="G30" s="40">
        <f t="shared" si="0"/>
        <v>1</v>
      </c>
    </row>
    <row r="31" spans="2:7" s="38" customFormat="1" ht="50.1" customHeight="1" x14ac:dyDescent="0.3">
      <c r="B31" s="85" t="s">
        <v>234</v>
      </c>
      <c r="C31" s="85"/>
      <c r="D31" s="40" t="s">
        <v>27</v>
      </c>
      <c r="E31" s="106"/>
      <c r="F31" s="106"/>
      <c r="G31" s="40">
        <f t="shared" si="0"/>
        <v>1</v>
      </c>
    </row>
    <row r="32" spans="2:7" s="38" customFormat="1" ht="50.1" customHeight="1" x14ac:dyDescent="0.3">
      <c r="B32" s="85" t="s">
        <v>235</v>
      </c>
      <c r="C32" s="85"/>
      <c r="D32" s="40" t="s">
        <v>27</v>
      </c>
      <c r="E32" s="106"/>
      <c r="F32" s="106"/>
      <c r="G32" s="40">
        <f t="shared" si="0"/>
        <v>1</v>
      </c>
    </row>
    <row r="33" spans="6:7" x14ac:dyDescent="0.35">
      <c r="F33" s="86" t="s">
        <v>15</v>
      </c>
      <c r="G33" s="40">
        <f>SUMIF(G10:G32,"&lt;2")</f>
        <v>22</v>
      </c>
    </row>
    <row r="34" spans="6:7" x14ac:dyDescent="0.35">
      <c r="F34" s="86"/>
      <c r="G34" s="41">
        <f>IFERROR((G33*1)/(COUNTIF(G10:G32,"&lt;2")),"NA")</f>
        <v>0.95652173913043481</v>
      </c>
    </row>
  </sheetData>
  <mergeCells count="53">
    <mergeCell ref="E29:F29"/>
    <mergeCell ref="E30:F30"/>
    <mergeCell ref="E31:F31"/>
    <mergeCell ref="F5:G5"/>
    <mergeCell ref="F4:G4"/>
    <mergeCell ref="F6:G6"/>
    <mergeCell ref="F7:G7"/>
    <mergeCell ref="B9:C9"/>
    <mergeCell ref="E9:F9"/>
    <mergeCell ref="B10:C10"/>
    <mergeCell ref="E10:F10"/>
    <mergeCell ref="B11:C11"/>
    <mergeCell ref="E11:F11"/>
    <mergeCell ref="B13:C13"/>
    <mergeCell ref="E13:F13"/>
    <mergeCell ref="B14:C14"/>
    <mergeCell ref="E14:F14"/>
    <mergeCell ref="B12:C12"/>
    <mergeCell ref="E12:F12"/>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31:C31"/>
    <mergeCell ref="B32:C32"/>
    <mergeCell ref="E32:F32"/>
    <mergeCell ref="F33:F34"/>
    <mergeCell ref="B24:C24"/>
    <mergeCell ref="B25:C25"/>
    <mergeCell ref="B26:C26"/>
    <mergeCell ref="B27:C27"/>
    <mergeCell ref="B28:C28"/>
    <mergeCell ref="B29:C29"/>
    <mergeCell ref="B30:C30"/>
    <mergeCell ref="E24:F24"/>
    <mergeCell ref="E25:F25"/>
    <mergeCell ref="E26:F26"/>
    <mergeCell ref="E27:F27"/>
    <mergeCell ref="E28:F28"/>
  </mergeCells>
  <dataValidations count="1">
    <dataValidation type="list" allowBlank="1" showInputMessage="1" showErrorMessage="1" sqref="D10:D32" xr:uid="{975F7962-7671-459A-931F-48C555655163}">
      <formula1>#REF!</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AD94-C8A3-4B38-892C-8F7974E6F552}">
  <dimension ref="A4:G52"/>
  <sheetViews>
    <sheetView showGridLines="0" tabSelected="1" view="pageBreakPreview" zoomScale="90" zoomScaleNormal="100" zoomScaleSheetLayoutView="90" workbookViewId="0">
      <selection activeCell="O26" sqref="O26"/>
    </sheetView>
  </sheetViews>
  <sheetFormatPr baseColWidth="10" defaultColWidth="11.44140625" defaultRowHeight="15" x14ac:dyDescent="0.35"/>
  <cols>
    <col min="1" max="1" width="2.44140625" style="10" customWidth="1"/>
    <col min="2" max="2" width="62.88671875" style="10" customWidth="1"/>
    <col min="3" max="3" width="40.33203125" style="10" customWidth="1"/>
    <col min="4" max="4" width="32.109375" style="10" customWidth="1"/>
    <col min="5" max="5" width="42" style="10" customWidth="1"/>
    <col min="6" max="6" width="31.6640625" style="10" customWidth="1"/>
    <col min="7" max="7" width="3.33203125" style="10" customWidth="1"/>
    <col min="8" max="16384" width="11.44140625" style="10"/>
  </cols>
  <sheetData>
    <row r="4" spans="1:7" s="11" customFormat="1" ht="15.75" customHeight="1" x14ac:dyDescent="0.35">
      <c r="C4" s="12"/>
      <c r="D4" s="13"/>
      <c r="E4" s="13"/>
      <c r="F4" s="14"/>
    </row>
    <row r="5" spans="1:7" s="11" customFormat="1" ht="15" customHeight="1" x14ac:dyDescent="0.35">
      <c r="C5" s="13"/>
      <c r="D5" s="13"/>
      <c r="E5" s="13"/>
      <c r="F5" s="15"/>
    </row>
    <row r="6" spans="1:7" s="11" customFormat="1" x14ac:dyDescent="0.35">
      <c r="C6" s="13"/>
      <c r="D6" s="13"/>
      <c r="E6" s="13"/>
      <c r="F6" s="16"/>
      <c r="G6" s="17"/>
    </row>
    <row r="7" spans="1:7" s="11" customFormat="1" x14ac:dyDescent="0.35">
      <c r="B7" s="16"/>
      <c r="C7" s="18"/>
      <c r="D7" s="18"/>
      <c r="E7" s="18"/>
      <c r="F7" s="16"/>
      <c r="G7" s="17"/>
    </row>
    <row r="8" spans="1:7" ht="15.75" customHeight="1" x14ac:dyDescent="0.35">
      <c r="C8" s="19"/>
      <c r="D8" s="19"/>
      <c r="E8" s="19"/>
    </row>
    <row r="9" spans="1:7" ht="40.5" customHeight="1" x14ac:dyDescent="0.35">
      <c r="B9" s="79" t="s">
        <v>44</v>
      </c>
      <c r="C9" s="23"/>
      <c r="D9" s="81" t="s">
        <v>33</v>
      </c>
      <c r="E9" s="23"/>
      <c r="F9" s="82" t="s">
        <v>43</v>
      </c>
      <c r="G9" s="20"/>
    </row>
    <row r="10" spans="1:7" ht="31.5" customHeight="1" x14ac:dyDescent="0.35">
      <c r="B10" s="80" t="s">
        <v>20</v>
      </c>
      <c r="C10" s="23"/>
      <c r="D10" s="79" t="s">
        <v>45</v>
      </c>
      <c r="E10" s="23"/>
      <c r="F10" s="24"/>
      <c r="G10" s="20"/>
    </row>
    <row r="11" spans="1:7" ht="21.75" customHeight="1" x14ac:dyDescent="0.35">
      <c r="B11" s="79" t="s">
        <v>2</v>
      </c>
      <c r="C11" s="23"/>
      <c r="D11" s="81" t="s">
        <v>46</v>
      </c>
      <c r="E11" s="23"/>
      <c r="F11" s="82" t="s">
        <v>30</v>
      </c>
      <c r="G11" s="20"/>
    </row>
    <row r="12" spans="1:7" ht="30" customHeight="1" x14ac:dyDescent="0.35">
      <c r="B12" s="79" t="s">
        <v>3</v>
      </c>
      <c r="C12" s="25"/>
      <c r="D12" s="79" t="s">
        <v>47</v>
      </c>
      <c r="E12" s="23"/>
      <c r="F12" s="26">
        <f>AVERAGE(C15:C26,C27:C35)</f>
        <v>0.85087416609155742</v>
      </c>
      <c r="G12" s="20"/>
    </row>
    <row r="14" spans="1:7" s="19" customFormat="1" x14ac:dyDescent="0.35">
      <c r="A14" s="21"/>
      <c r="B14" s="27" t="s">
        <v>32</v>
      </c>
      <c r="C14" s="27" t="s">
        <v>31</v>
      </c>
      <c r="D14" s="127"/>
      <c r="E14" s="127"/>
      <c r="F14" s="127"/>
    </row>
    <row r="15" spans="1:7" x14ac:dyDescent="0.35">
      <c r="A15" s="19"/>
      <c r="B15" s="28" t="s">
        <v>90</v>
      </c>
      <c r="C15" s="29">
        <f>'Nivel 1'!G24</f>
        <v>0.5714285714285714</v>
      </c>
      <c r="D15" s="127"/>
      <c r="E15" s="127"/>
      <c r="F15" s="127"/>
    </row>
    <row r="16" spans="1:7" x14ac:dyDescent="0.35">
      <c r="A16" s="19"/>
      <c r="B16" s="28" t="s">
        <v>89</v>
      </c>
      <c r="C16" s="29">
        <f>'Nivel 2'!G23</f>
        <v>1</v>
      </c>
      <c r="D16" s="127"/>
      <c r="E16" s="127"/>
      <c r="F16" s="127"/>
    </row>
    <row r="17" spans="1:6" x14ac:dyDescent="0.35">
      <c r="A17" s="19"/>
      <c r="B17" s="28" t="s">
        <v>91</v>
      </c>
      <c r="C17" s="29" t="str">
        <f>'Nivel 3'!G21</f>
        <v>NA</v>
      </c>
      <c r="D17" s="127"/>
      <c r="E17" s="127"/>
      <c r="F17" s="127"/>
    </row>
    <row r="18" spans="1:6" x14ac:dyDescent="0.35">
      <c r="A18" s="19"/>
      <c r="B18" s="28" t="s">
        <v>92</v>
      </c>
      <c r="C18" s="29" t="str">
        <f>'Nivel 4'!G19</f>
        <v>NA</v>
      </c>
      <c r="D18" s="127"/>
      <c r="E18" s="127"/>
      <c r="F18" s="127"/>
    </row>
    <row r="19" spans="1:6" x14ac:dyDescent="0.35">
      <c r="A19" s="19"/>
      <c r="B19" s="28" t="s">
        <v>93</v>
      </c>
      <c r="C19" s="29" t="str">
        <f>'Nivel 5'!G20</f>
        <v>NA</v>
      </c>
      <c r="D19" s="127"/>
      <c r="E19" s="127"/>
      <c r="F19" s="127"/>
    </row>
    <row r="20" spans="1:6" x14ac:dyDescent="0.35">
      <c r="A20" s="19"/>
      <c r="B20" s="28" t="s">
        <v>94</v>
      </c>
      <c r="C20" s="29" t="str">
        <f>'Nivel 6'!G28</f>
        <v>NA</v>
      </c>
      <c r="D20" s="127"/>
      <c r="E20" s="127"/>
      <c r="F20" s="127"/>
    </row>
    <row r="21" spans="1:6" x14ac:dyDescent="0.35">
      <c r="A21" s="19"/>
      <c r="B21" s="28" t="s">
        <v>95</v>
      </c>
      <c r="C21" s="29" t="str">
        <f>'Nivel 7'!G21</f>
        <v>NA</v>
      </c>
      <c r="D21" s="127"/>
      <c r="E21" s="127"/>
      <c r="F21" s="127"/>
    </row>
    <row r="22" spans="1:6" x14ac:dyDescent="0.35">
      <c r="A22" s="19"/>
      <c r="B22" s="28" t="s">
        <v>96</v>
      </c>
      <c r="C22" s="29" t="str">
        <f>'Nivel 8'!G25</f>
        <v>NA</v>
      </c>
      <c r="D22" s="127"/>
      <c r="E22" s="127"/>
      <c r="F22" s="127"/>
    </row>
    <row r="23" spans="1:6" x14ac:dyDescent="0.35">
      <c r="A23" s="19"/>
      <c r="B23" s="28" t="s">
        <v>97</v>
      </c>
      <c r="C23" s="29" t="str">
        <f>'Nivel 9'!G29</f>
        <v>NA</v>
      </c>
      <c r="D23" s="127"/>
      <c r="E23" s="127"/>
      <c r="F23" s="127"/>
    </row>
    <row r="24" spans="1:6" x14ac:dyDescent="0.35">
      <c r="A24" s="19"/>
      <c r="B24" s="28" t="s">
        <v>98</v>
      </c>
      <c r="C24" s="29" t="str">
        <f>'Nivel 10'!G19</f>
        <v>NA</v>
      </c>
      <c r="D24" s="127"/>
      <c r="E24" s="127"/>
      <c r="F24" s="127"/>
    </row>
    <row r="25" spans="1:6" x14ac:dyDescent="0.35">
      <c r="A25" s="19"/>
      <c r="B25" s="28" t="s">
        <v>100</v>
      </c>
      <c r="C25" s="29" t="str">
        <f>'Nivel 11'!G20</f>
        <v>NA</v>
      </c>
      <c r="D25" s="127"/>
      <c r="E25" s="127"/>
      <c r="F25" s="127"/>
    </row>
    <row r="26" spans="1:6" x14ac:dyDescent="0.35">
      <c r="A26" s="19"/>
      <c r="B26" s="28" t="s">
        <v>101</v>
      </c>
      <c r="C26" s="29">
        <f>'Nivel 12'!G19</f>
        <v>1</v>
      </c>
      <c r="D26" s="127"/>
      <c r="E26" s="127"/>
      <c r="F26" s="127"/>
    </row>
    <row r="27" spans="1:6" x14ac:dyDescent="0.35">
      <c r="A27" s="19"/>
      <c r="B27" s="30" t="s">
        <v>102</v>
      </c>
      <c r="C27" s="29">
        <f>'Nivel 13'!G20</f>
        <v>0.77777777777777779</v>
      </c>
      <c r="D27" s="127"/>
      <c r="E27" s="127"/>
      <c r="F27" s="127"/>
    </row>
    <row r="28" spans="1:6" x14ac:dyDescent="0.35">
      <c r="A28" s="19"/>
      <c r="B28" s="30" t="s">
        <v>103</v>
      </c>
      <c r="C28" s="29">
        <f>'Nivel 14'!G29</f>
        <v>1</v>
      </c>
      <c r="D28" s="127"/>
      <c r="E28" s="127"/>
      <c r="F28" s="127"/>
    </row>
    <row r="29" spans="1:6" x14ac:dyDescent="0.35">
      <c r="A29" s="19"/>
      <c r="B29" s="30" t="s">
        <v>104</v>
      </c>
      <c r="C29" s="29">
        <f>'Nivel 15'!G25</f>
        <v>1</v>
      </c>
      <c r="D29" s="127"/>
      <c r="E29" s="127"/>
      <c r="F29" s="127"/>
    </row>
    <row r="30" spans="1:6" x14ac:dyDescent="0.35">
      <c r="A30" s="19"/>
      <c r="B30" s="30" t="s">
        <v>105</v>
      </c>
      <c r="C30" s="29">
        <f>'Nivel 16'!G22</f>
        <v>1</v>
      </c>
      <c r="D30" s="127"/>
      <c r="E30" s="127"/>
      <c r="F30" s="127"/>
    </row>
    <row r="31" spans="1:6" x14ac:dyDescent="0.35">
      <c r="A31" s="19"/>
      <c r="B31" s="30" t="s">
        <v>106</v>
      </c>
      <c r="C31" s="29">
        <f>'Nivel 17'!G23</f>
        <v>1</v>
      </c>
      <c r="D31" s="127"/>
      <c r="E31" s="127"/>
      <c r="F31" s="127"/>
    </row>
    <row r="32" spans="1:6" x14ac:dyDescent="0.35">
      <c r="A32" s="19"/>
      <c r="B32" s="30" t="s">
        <v>107</v>
      </c>
      <c r="C32" s="29">
        <f>'Nivel 18'!G24</f>
        <v>1</v>
      </c>
      <c r="D32" s="127"/>
      <c r="E32" s="127"/>
      <c r="F32" s="127"/>
    </row>
    <row r="33" spans="1:6" x14ac:dyDescent="0.35">
      <c r="A33" s="19"/>
      <c r="B33" s="30" t="s">
        <v>108</v>
      </c>
      <c r="C33" s="29">
        <f>'Nivel 19'!G35</f>
        <v>0.90476190476190477</v>
      </c>
      <c r="D33" s="127"/>
      <c r="E33" s="127"/>
      <c r="F33" s="127"/>
    </row>
    <row r="34" spans="1:6" x14ac:dyDescent="0.35">
      <c r="A34" s="19"/>
      <c r="B34" s="30" t="s">
        <v>109</v>
      </c>
      <c r="C34" s="29">
        <f>'Nivel 20'!G34</f>
        <v>0.95652173913043481</v>
      </c>
      <c r="D34" s="127"/>
      <c r="E34" s="127"/>
      <c r="F34" s="127"/>
    </row>
    <row r="35" spans="1:6" ht="30" customHeight="1" x14ac:dyDescent="0.35">
      <c r="A35" s="19"/>
      <c r="B35" s="31"/>
      <c r="C35" s="29">
        <v>0</v>
      </c>
      <c r="D35" s="127"/>
      <c r="E35" s="127"/>
      <c r="F35" s="127"/>
    </row>
    <row r="36" spans="1:6" ht="24.75" customHeight="1" x14ac:dyDescent="0.35">
      <c r="A36" s="19"/>
      <c r="B36" s="130" t="s">
        <v>42</v>
      </c>
      <c r="C36" s="130"/>
      <c r="D36" s="130"/>
      <c r="E36" s="130"/>
      <c r="F36" s="130"/>
    </row>
    <row r="37" spans="1:6" ht="24.75" customHeight="1" x14ac:dyDescent="0.35">
      <c r="A37" s="19"/>
      <c r="B37" s="129" t="s">
        <v>36</v>
      </c>
      <c r="C37" s="129"/>
      <c r="D37" s="129"/>
      <c r="E37" s="129"/>
      <c r="F37" s="129"/>
    </row>
    <row r="38" spans="1:6" ht="24.75" customHeight="1" x14ac:dyDescent="0.35">
      <c r="A38" s="19"/>
      <c r="B38" s="129"/>
      <c r="C38" s="129"/>
      <c r="D38" s="129"/>
      <c r="E38" s="129"/>
      <c r="F38" s="129"/>
    </row>
    <row r="39" spans="1:6" ht="24.75" customHeight="1" x14ac:dyDescent="0.35">
      <c r="A39" s="19"/>
      <c r="B39" s="129"/>
      <c r="C39" s="129"/>
      <c r="D39" s="129"/>
      <c r="E39" s="129"/>
      <c r="F39" s="129"/>
    </row>
    <row r="40" spans="1:6" ht="24.75" customHeight="1" x14ac:dyDescent="0.35">
      <c r="A40" s="19"/>
      <c r="B40" s="129"/>
      <c r="C40" s="129"/>
      <c r="D40" s="129"/>
      <c r="E40" s="129"/>
      <c r="F40" s="129"/>
    </row>
    <row r="41" spans="1:6" ht="24.75" customHeight="1" x14ac:dyDescent="0.35">
      <c r="A41" s="19"/>
      <c r="B41" s="129"/>
      <c r="C41" s="129"/>
      <c r="D41" s="129"/>
      <c r="E41" s="129"/>
      <c r="F41" s="129"/>
    </row>
    <row r="42" spans="1:6" ht="24.75" customHeight="1" x14ac:dyDescent="0.35">
      <c r="A42" s="19"/>
      <c r="B42" s="129" t="s">
        <v>37</v>
      </c>
      <c r="C42" s="129"/>
      <c r="D42" s="129"/>
      <c r="E42" s="129"/>
      <c r="F42" s="129"/>
    </row>
    <row r="43" spans="1:6" ht="24.75" customHeight="1" x14ac:dyDescent="0.35">
      <c r="A43" s="19"/>
      <c r="B43" s="129"/>
      <c r="C43" s="129"/>
      <c r="D43" s="129"/>
      <c r="E43" s="129"/>
      <c r="F43" s="129"/>
    </row>
    <row r="44" spans="1:6" ht="34.5" customHeight="1" x14ac:dyDescent="0.35">
      <c r="A44" s="19"/>
      <c r="B44" s="129"/>
      <c r="C44" s="129"/>
      <c r="D44" s="129"/>
      <c r="E44" s="129"/>
      <c r="F44" s="129"/>
    </row>
    <row r="45" spans="1:6" ht="24.75" customHeight="1" x14ac:dyDescent="0.35">
      <c r="A45" s="19"/>
      <c r="B45" s="129"/>
      <c r="C45" s="129"/>
      <c r="D45" s="129"/>
      <c r="E45" s="129"/>
      <c r="F45" s="129"/>
    </row>
    <row r="46" spans="1:6" ht="24.75" customHeight="1" x14ac:dyDescent="0.35">
      <c r="A46" s="19"/>
      <c r="B46" s="129"/>
      <c r="C46" s="129"/>
      <c r="D46" s="129"/>
      <c r="E46" s="129"/>
      <c r="F46" s="129"/>
    </row>
    <row r="48" spans="1:6" s="19" customFormat="1" ht="19.8" customHeight="1" x14ac:dyDescent="0.35">
      <c r="B48" s="83" t="s">
        <v>34</v>
      </c>
      <c r="C48" s="128" t="s">
        <v>35</v>
      </c>
      <c r="D48" s="128"/>
      <c r="E48" s="128" t="s">
        <v>38</v>
      </c>
      <c r="F48" s="128"/>
    </row>
    <row r="49" spans="2:6" s="22" customFormat="1" ht="24" customHeight="1" x14ac:dyDescent="0.35">
      <c r="B49" s="32" t="s">
        <v>39</v>
      </c>
      <c r="C49" s="126" t="s">
        <v>39</v>
      </c>
      <c r="D49" s="126"/>
      <c r="E49" s="126" t="s">
        <v>39</v>
      </c>
      <c r="F49" s="126"/>
    </row>
    <row r="50" spans="2:6" s="22" customFormat="1" ht="24" customHeight="1" x14ac:dyDescent="0.35">
      <c r="B50" s="32" t="s">
        <v>40</v>
      </c>
      <c r="C50" s="126" t="s">
        <v>40</v>
      </c>
      <c r="D50" s="126" t="s">
        <v>40</v>
      </c>
      <c r="E50" s="126" t="s">
        <v>40</v>
      </c>
      <c r="F50" s="126" t="s">
        <v>40</v>
      </c>
    </row>
    <row r="51" spans="2:6" s="22" customFormat="1" ht="24" customHeight="1" x14ac:dyDescent="0.35">
      <c r="B51" s="32" t="s">
        <v>3</v>
      </c>
      <c r="C51" s="126" t="s">
        <v>3</v>
      </c>
      <c r="D51" s="126" t="s">
        <v>3</v>
      </c>
      <c r="E51" s="126" t="s">
        <v>3</v>
      </c>
      <c r="F51" s="126" t="s">
        <v>3</v>
      </c>
    </row>
    <row r="52" spans="2:6" s="22" customFormat="1" ht="48" customHeight="1" x14ac:dyDescent="0.35">
      <c r="B52" s="33" t="s">
        <v>41</v>
      </c>
      <c r="C52" s="126" t="s">
        <v>41</v>
      </c>
      <c r="D52" s="126" t="s">
        <v>41</v>
      </c>
      <c r="E52" s="126" t="s">
        <v>41</v>
      </c>
      <c r="F52" s="126" t="s">
        <v>41</v>
      </c>
    </row>
  </sheetData>
  <mergeCells count="14">
    <mergeCell ref="D14:F35"/>
    <mergeCell ref="C48:D48"/>
    <mergeCell ref="E48:F48"/>
    <mergeCell ref="B37:F41"/>
    <mergeCell ref="B42:F46"/>
    <mergeCell ref="B36:F36"/>
    <mergeCell ref="C52:D52"/>
    <mergeCell ref="E49:F49"/>
    <mergeCell ref="E50:F50"/>
    <mergeCell ref="E51:F51"/>
    <mergeCell ref="E52:F52"/>
    <mergeCell ref="C49:D49"/>
    <mergeCell ref="C50:D50"/>
    <mergeCell ref="C51:D51"/>
  </mergeCells>
  <phoneticPr fontId="2" type="noConversion"/>
  <conditionalFormatting sqref="C15:C35">
    <cfRule type="cellIs" dxfId="5" priority="4" operator="between">
      <formula>0.95</formula>
      <formula>1</formula>
    </cfRule>
    <cfRule type="cellIs" dxfId="4" priority="5" operator="between">
      <formula>0.9</formula>
      <formula>0.949</formula>
    </cfRule>
    <cfRule type="cellIs" dxfId="3" priority="6" operator="between">
      <formula>0</formula>
      <formula>0.899</formula>
    </cfRule>
  </conditionalFormatting>
  <conditionalFormatting sqref="F12">
    <cfRule type="cellIs" dxfId="2" priority="1" operator="between">
      <formula>0.95</formula>
      <formula>1</formula>
    </cfRule>
    <cfRule type="cellIs" dxfId="1" priority="2" operator="between">
      <formula>0.9</formula>
      <formula>0.949</formula>
    </cfRule>
    <cfRule type="cellIs" dxfId="0" priority="3" operator="between">
      <formula>0</formula>
      <formula>0.899</formula>
    </cfRule>
  </conditionalFormatting>
  <pageMargins left="0.7" right="0.7" top="0.75" bottom="0.75" header="0.3" footer="0.3"/>
  <pageSetup scale="40" orientation="portrait" r:id="rId1"/>
  <colBreaks count="1" manualBreakCount="1">
    <brk id="7"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1</vt:i4>
      </vt:variant>
    </vt:vector>
  </HeadingPairs>
  <TitlesOfParts>
    <vt:vector size="22" baseType="lpstr">
      <vt:lpstr>Nivel 1</vt:lpstr>
      <vt:lpstr>Nivel 2</vt:lpstr>
      <vt:lpstr>Nivel 3</vt:lpstr>
      <vt:lpstr>Nivel 4</vt:lpstr>
      <vt:lpstr>Nivel 5</vt:lpstr>
      <vt:lpstr>Nivel 6</vt:lpstr>
      <vt:lpstr>Nivel 7</vt:lpstr>
      <vt:lpstr>Nivel 8</vt:lpstr>
      <vt:lpstr>Nivel 9</vt:lpstr>
      <vt:lpstr>Nivel 10</vt:lpstr>
      <vt:lpstr>Nivel 11</vt:lpstr>
      <vt:lpstr>Nivel 12</vt:lpstr>
      <vt:lpstr>Nivel 13</vt:lpstr>
      <vt:lpstr>Nivel 14</vt:lpstr>
      <vt:lpstr>Nivel 15</vt:lpstr>
      <vt:lpstr>Nivel 16</vt:lpstr>
      <vt:lpstr>Nivel 17</vt:lpstr>
      <vt:lpstr>Nivel 18</vt:lpstr>
      <vt:lpstr>Nivel 19</vt:lpstr>
      <vt:lpstr>Nivel 20</vt:lpstr>
      <vt:lpstr>Cierre Fiscalización</vt:lpstr>
      <vt:lpstr>'Cierre Fiscalización'!Área_de_impresión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Cirenet San Martin</dc:creator>
  <cp:lastModifiedBy>Cesar Benavides</cp:lastModifiedBy>
  <cp:lastPrinted>2021-09-25T02:06:47Z</cp:lastPrinted>
  <dcterms:created xsi:type="dcterms:W3CDTF">2021-09-16T14:22:24Z</dcterms:created>
  <dcterms:modified xsi:type="dcterms:W3CDTF">2026-05-06T20:42:12Z</dcterms:modified>
</cp:coreProperties>
</file>